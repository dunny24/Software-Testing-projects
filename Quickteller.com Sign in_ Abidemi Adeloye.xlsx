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hidden" name="Sheet2" sheetId="2" r:id="rId6"/>
  </sheets>
  <definedNames/>
  <calcPr/>
</workbook>
</file>

<file path=xl/sharedStrings.xml><?xml version="1.0" encoding="utf-8"?>
<sst xmlns="http://schemas.openxmlformats.org/spreadsheetml/2006/main" count="144" uniqueCount="80">
  <si>
    <t>Compartibity Tests using Mozilla Firefox, Chrome and Internet Explorer(Edge)</t>
  </si>
  <si>
    <t>Write a Test case for Quickteller Sign in feature</t>
  </si>
  <si>
    <t>Internet explorer</t>
  </si>
  <si>
    <t>Mozilla firefox</t>
  </si>
  <si>
    <t>Chrome</t>
  </si>
  <si>
    <t>Total Test cases</t>
  </si>
  <si>
    <t>Total Passed</t>
  </si>
  <si>
    <t>Total Failed</t>
  </si>
  <si>
    <t>Not executed</t>
  </si>
  <si>
    <r>
      <rPr/>
      <t xml:space="preserve">Summary: The sign-in feature of </t>
    </r>
    <r>
      <rPr>
        <color rgb="FF1155CC"/>
        <u/>
      </rPr>
      <t>Quickteller.com</t>
    </r>
    <r>
      <rPr/>
      <t xml:space="preserve"> was tested using the Internet Explorer, Mozilla Firefox and Chrome browsers. Sixty percent of the test cases passed sucessfully, while thirty percent failed and ten percent was not executed. Overall, the feature performed well under different conditions, of valid and invalid inputs. No critical issues were found and the user experience was consistent with expectations.</t>
    </r>
  </si>
  <si>
    <t>Internet Explorer</t>
  </si>
  <si>
    <t>Mozilla Firefox</t>
  </si>
  <si>
    <t>Test Suite ID</t>
  </si>
  <si>
    <t>Test Case ID</t>
  </si>
  <si>
    <t>Test Case Description</t>
  </si>
  <si>
    <t>Test Steps</t>
  </si>
  <si>
    <t>Test Data</t>
  </si>
  <si>
    <t>Expected Results</t>
  </si>
  <si>
    <t>Actual Results</t>
  </si>
  <si>
    <t>Cycle 2</t>
  </si>
  <si>
    <t>Comments</t>
  </si>
  <si>
    <t>Created by</t>
  </si>
  <si>
    <t>Created Date</t>
  </si>
  <si>
    <t>Feature name: Sign In</t>
  </si>
  <si>
    <t>None</t>
  </si>
  <si>
    <t>Abidemi Adeloye</t>
  </si>
  <si>
    <t>TC 001</t>
  </si>
  <si>
    <t>Verify that user can sucessfully sign in with valid credentials</t>
  </si>
  <si>
    <t>visit Quickteller url
-Input the valid details:name,email, mobile phone number and a strong password
-confirm password
-accept terms and conditions
-click the "Sign In" button</t>
  </si>
  <si>
    <t>Quickteller url: Quickteller.com
valid phone number: 0803.......
valid name: Abidemi Adeloye
valid password:  xxxxxxxxxx
valid email: badeloye@gmail.com</t>
  </si>
  <si>
    <t>User is redirected to the dasboard/homepage and a welcome is displayed</t>
  </si>
  <si>
    <t>User sign in was successful</t>
  </si>
  <si>
    <t>Passed</t>
  </si>
  <si>
    <t>TC 002</t>
  </si>
  <si>
    <t>Verify that user cannot sign in with an  invalid email format</t>
  </si>
  <si>
    <t>visit Quickteller url
-Input the valid details:name,mobile phone number and a strong password
-confirm password
-input an invalid email format: www123
-accept terms and conditions
-click the "Sign In" button</t>
  </si>
  <si>
    <t>Quickteller url: Quickteller.com
valid phone number: 0803....
valid name: Abidemi Adeoye
invalid email format: www123</t>
  </si>
  <si>
    <t>An error message is displayed indicating that the email format is invalid</t>
  </si>
  <si>
    <t>User could not sign in</t>
  </si>
  <si>
    <t>TC 003</t>
  </si>
  <si>
    <t>Verify that user cannot sign in with a correct email but an incorrect password</t>
  </si>
  <si>
    <t>visit Quickteller url
-Input the valid details:name,mobile phone number 
-Input an invalid password
-confirm password
-input a valid email: anna@yahoo.com
-accept terms and conditions
-click the "Sign In" button</t>
  </si>
  <si>
    <t>Quickteller url: Quickteller.com
Input valid phone number: 08034534589
Input valid name: Abidemi Adeloye
Input an invalid password:  xxxcbg833
Input a valid email: badeloye@gmail.com</t>
  </si>
  <si>
    <t>An error message is displayed indicating that the password is incorrect</t>
  </si>
  <si>
    <t>TC 004</t>
  </si>
  <si>
    <t>Verify that user cannot sign in with a blank email field</t>
  </si>
  <si>
    <t>visit Quickteller url
-Input the valid details:name,mobile phone number 
-Input a valid password
-confirm password
-Leave the email field blank
-accept terms and conditions
-click the "Sign In" button</t>
  </si>
  <si>
    <t>Quickteller url: Quickteller.com
Input valid phone number: 0803......
Input valid name: Abidemi Adeloye
Input a valid password:xxxxxxx
Email field: Blank</t>
  </si>
  <si>
    <t>An error message is displayed indicating that the email field cannot be empty
-"Please enter your email or mobile number"</t>
  </si>
  <si>
    <t>TC 005</t>
  </si>
  <si>
    <t>verify that user cannot sign in with a blank password field</t>
  </si>
  <si>
    <t>visit Quickteller url
-Input the valid details:name,mobile phone number 
-Leave the password field empty
- Do not confirm password
-Input a valid email
-accept terms and conditions
-click the "Sign In" button</t>
  </si>
  <si>
    <t>Quickteller url: Quickteller.com
Input valid phone number: 0803.......
Input valid name: Abidemi Adeloye
Leave password field blank 
Input valid email.badeloy@gmail.com</t>
  </si>
  <si>
    <t>An error message is displayed indicating that the password  field cannot be empty</t>
  </si>
  <si>
    <t>TC 006</t>
  </si>
  <si>
    <t>Verify that a user can sign in with an unregistered email</t>
  </si>
  <si>
    <t>visit Quickteller url
-Input the valid details:name,mobile phone number and a strong password
-confirm password
-Input an unregistered email
-accept terms and conditions
-click the "Sign In" button</t>
  </si>
  <si>
    <t>Quickteller url: Quickteller.com
Input valid phone number: 0803.......
Input valid name: Abidemi Adeloye
Leave password:xxxcbg833    
Input valid email.badeloywwww</t>
  </si>
  <si>
    <t>An error message is displayed indicating that the  email is not registered</t>
  </si>
  <si>
    <t>Failed</t>
  </si>
  <si>
    <t>TC 007</t>
  </si>
  <si>
    <t>Verify that the user password visibility toggle works as expected</t>
  </si>
  <si>
    <t>visit Quickteller url
-Input the valid details:name,email, mobile phone number 
-Input password and toggle the visibility
-confirm password
-accept terms and conditions
-click the "Sign In" button</t>
  </si>
  <si>
    <t>Quickteller url: Quickteller.com
valid phone number: 0803.......
valid name: Abidemi Adeloye
valid password: xxxcbg833  
valid email: badeloye@gmail.com</t>
  </si>
  <si>
    <t>Password characters are displayed/hidden as expected</t>
  </si>
  <si>
    <t>TC 008</t>
  </si>
  <si>
    <t xml:space="preserve">Verify that the 'remember me' option keeps the user signed in </t>
  </si>
  <si>
    <r>
      <rPr>
        <sz val="12.0"/>
      </rPr>
      <t xml:space="preserve">visit Quickteller url
-Input the valid details:name,email, mobile phone number and a strong password
-confirm password
-Check the "remember me" checkbox
-click on sign in button
-Log out
-Close and reopen the browser
-Navigate to </t>
    </r>
    <r>
      <rPr>
        <color rgb="FF1155CC"/>
        <sz val="12.0"/>
        <u/>
      </rPr>
      <t>Quickteller.com</t>
    </r>
  </si>
  <si>
    <t>Quickteller url: Quickteller.com
valid phone number: 0803.....
valid name: Abidemi Adeloye
valid password:  xxxcbg833
valid email: badeloye@gmail.com.com</t>
  </si>
  <si>
    <t>User is able to sign in without having to enter valid credentilas again</t>
  </si>
  <si>
    <t xml:space="preserve">User sign in was not sucessful
A message was displayed:"Please enter your password" </t>
  </si>
  <si>
    <t>TC 009</t>
  </si>
  <si>
    <t>Verify that user's account cannot be locked out after multiple failed accounts</t>
  </si>
  <si>
    <t>visit Quickteller url
-Input the valid details:name,email, mobile phone number 
-Input an incorrect password five times
-Then input correct password
-click the "Sign In" button</t>
  </si>
  <si>
    <t>An error message is displayed indicating that the account has been locked due to multiple failed attempts</t>
  </si>
  <si>
    <t>TC 010</t>
  </si>
  <si>
    <t>Verify that user's account can time out after a period of inactivity</t>
  </si>
  <si>
    <t xml:space="preserve">visit Quickteller url
-Input the valid details:name,email, mobile phone number and a strong password
-confirm password
-accept terms and conditions
-click the "Sign In" button
- Leave the session idle for the specified timeout duration (2-5mins)
- Try to navigate to another page </t>
  </si>
  <si>
    <t>User is redirected to the sign in page with a message indicating the session has timed out</t>
  </si>
  <si>
    <t>User's account did not time after a 30mins period of inactivity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</si>
</sst>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8">
    <font>
      <sz val="10.0"/>
      <color rgb="FF000000"/>
      <name val="Arial"/>
      <scheme val="minor"/>
    </font>
    <font>
      <color theme="1"/>
      <name val="Arial"/>
      <scheme val="minor"/>
    </font>
    <font>
      <color rgb="FFFFFFFF"/>
      <name val="Arial"/>
      <scheme val="minor"/>
    </font>
    <font>
      <color rgb="FF000000"/>
      <name val="Arial"/>
      <scheme val="minor"/>
    </font>
    <font>
      <u/>
      <color rgb="FF0000FF"/>
    </font>
    <font>
      <color theme="1"/>
      <name val="Arial"/>
    </font>
    <font>
      <sz val="12.0"/>
      <color theme="1"/>
      <name val="Arial"/>
      <scheme val="minor"/>
    </font>
    <font>
      <u/>
      <sz val="12.0"/>
      <color rgb="FF0000FF"/>
    </font>
  </fonts>
  <fills count="11">
    <fill>
      <patternFill patternType="none"/>
    </fill>
    <fill>
      <patternFill patternType="lightGray"/>
    </fill>
    <fill>
      <patternFill patternType="solid">
        <fgColor rgb="FFFF0000"/>
        <bgColor rgb="FFFF0000"/>
      </patternFill>
    </fill>
    <fill>
      <patternFill patternType="solid">
        <fgColor rgb="FFF4CCCC"/>
        <bgColor rgb="FFF4CCCC"/>
      </patternFill>
    </fill>
    <fill>
      <patternFill patternType="solid">
        <fgColor rgb="FFFFFFFF"/>
        <bgColor rgb="FFFFFFFF"/>
      </patternFill>
    </fill>
    <fill>
      <patternFill patternType="solid">
        <fgColor rgb="FF3C78D8"/>
        <bgColor rgb="FF3C78D8"/>
      </patternFill>
    </fill>
    <fill>
      <patternFill patternType="solid">
        <fgColor rgb="FFFF9900"/>
        <bgColor rgb="FFFF9900"/>
      </patternFill>
    </fill>
    <fill>
      <patternFill patternType="solid">
        <fgColor rgb="FF93C47D"/>
        <bgColor rgb="FF93C47D"/>
      </patternFill>
    </fill>
    <fill>
      <patternFill patternType="solid">
        <fgColor rgb="FF000000"/>
        <bgColor rgb="FF000000"/>
      </patternFill>
    </fill>
    <fill>
      <patternFill patternType="solid">
        <fgColor rgb="FF38761D"/>
        <bgColor rgb="FF38761D"/>
      </patternFill>
    </fill>
    <fill>
      <patternFill patternType="solid">
        <fgColor rgb="FFFFFF00"/>
        <bgColor rgb="FFFFFF00"/>
      </patternFill>
    </fill>
  </fills>
  <borders count="1">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3" fontId="1" numFmtId="0" xfId="0" applyAlignment="1" applyFill="1" applyFont="1">
      <alignment readingOrder="0" shrinkToFit="0" wrapText="1"/>
    </xf>
    <xf borderId="0" fillId="4" fontId="1" numFmtId="0" xfId="0" applyFill="1" applyFont="1"/>
    <xf borderId="0" fillId="4" fontId="2" numFmtId="0" xfId="0" applyAlignment="1" applyFont="1">
      <alignment readingOrder="0"/>
    </xf>
    <xf borderId="0" fillId="5" fontId="1" numFmtId="0" xfId="0" applyAlignment="1" applyFill="1" applyFont="1">
      <alignment readingOrder="0"/>
    </xf>
    <xf borderId="0" fillId="6" fontId="1" numFmtId="0" xfId="0" applyAlignment="1" applyFill="1" applyFont="1">
      <alignment readingOrder="0"/>
    </xf>
    <xf borderId="0" fillId="7" fontId="1" numFmtId="0" xfId="0" applyAlignment="1" applyFill="1" applyFont="1">
      <alignment readingOrder="0"/>
    </xf>
    <xf borderId="0" fillId="8" fontId="2" numFmtId="0" xfId="0" applyAlignment="1" applyFill="1" applyFont="1">
      <alignment readingOrder="0"/>
    </xf>
    <xf borderId="0" fillId="0" fontId="1" numFmtId="0" xfId="0" applyFont="1"/>
    <xf borderId="0" fillId="0" fontId="1" numFmtId="0" xfId="0" applyAlignment="1" applyFont="1">
      <alignment readingOrder="0"/>
    </xf>
    <xf borderId="0" fillId="4" fontId="1" numFmtId="0" xfId="0" applyAlignment="1" applyFont="1">
      <alignment readingOrder="0"/>
    </xf>
    <xf borderId="0" fillId="9" fontId="2" numFmtId="0" xfId="0" applyAlignment="1" applyFill="1" applyFont="1">
      <alignment readingOrder="0"/>
    </xf>
    <xf borderId="0" fillId="2" fontId="1" numFmtId="0" xfId="0" applyAlignment="1" applyFont="1">
      <alignment readingOrder="0"/>
    </xf>
    <xf borderId="0" fillId="10" fontId="3" numFmtId="0" xfId="0" applyAlignment="1" applyFill="1" applyFont="1">
      <alignment readingOrder="0"/>
    </xf>
    <xf borderId="0" fillId="10" fontId="1" numFmtId="0" xfId="0" applyAlignment="1" applyFont="1">
      <alignment readingOrder="0"/>
    </xf>
    <xf borderId="0" fillId="0" fontId="4" numFmtId="0" xfId="0" applyAlignment="1" applyFont="1">
      <alignment readingOrder="0" shrinkToFit="0" wrapText="1"/>
    </xf>
    <xf borderId="0" fillId="0" fontId="1" numFmtId="0" xfId="0" applyAlignment="1" applyFont="1">
      <alignment shrinkToFit="0" wrapText="1"/>
    </xf>
    <xf borderId="0" fillId="0" fontId="1" numFmtId="0" xfId="0" applyAlignment="1" applyFont="1">
      <alignment readingOrder="0" shrinkToFit="0" wrapText="1"/>
    </xf>
    <xf borderId="0" fillId="0" fontId="5" numFmtId="0" xfId="0" applyAlignment="1" applyFont="1">
      <alignment vertical="bottom"/>
    </xf>
    <xf borderId="0" fillId="0" fontId="5" numFmtId="0" xfId="0" applyAlignment="1" applyFont="1">
      <alignment shrinkToFit="0" vertical="bottom" wrapText="1"/>
    </xf>
    <xf borderId="0" fillId="5" fontId="1" numFmtId="0" xfId="0" applyAlignment="1" applyFont="1">
      <alignment readingOrder="0" shrinkToFit="0" wrapText="1"/>
    </xf>
    <xf borderId="0" fillId="5" fontId="1" numFmtId="0" xfId="0" applyAlignment="1" applyFont="1">
      <alignment shrinkToFit="0" wrapText="1"/>
    </xf>
    <xf borderId="0" fillId="5" fontId="1" numFmtId="0" xfId="0" applyFont="1"/>
    <xf borderId="0" fillId="5" fontId="1" numFmtId="164" xfId="0" applyAlignment="1" applyFont="1" applyNumberFormat="1">
      <alignment readingOrder="0"/>
    </xf>
    <xf borderId="0" fillId="0" fontId="6" numFmtId="0" xfId="0" applyAlignment="1" applyFont="1">
      <alignment readingOrder="0" shrinkToFit="0" wrapText="1"/>
    </xf>
    <xf borderId="0" fillId="0" fontId="1" numFmtId="164" xfId="0" applyAlignment="1" applyFont="1" applyNumberFormat="1">
      <alignment readingOrder="0"/>
    </xf>
    <xf borderId="0" fillId="0" fontId="6" numFmtId="0" xfId="0" applyAlignment="1" applyFont="1">
      <alignment readingOrder="0" shrinkToFit="0" wrapText="1"/>
    </xf>
    <xf borderId="0" fillId="0" fontId="1" numFmtId="0" xfId="0" applyAlignment="1" applyFont="1">
      <alignment readingOrder="0" shrinkToFit="0" wrapText="1"/>
    </xf>
    <xf borderId="0" fillId="0" fontId="7" numFmtId="0" xfId="0" applyAlignment="1" applyFont="1">
      <alignment readingOrder="0" shrinkToFit="0" wrapText="1"/>
    </xf>
  </cellXfs>
  <cellStyles count="1">
    <cellStyle xfId="0" name="Normal" builtinId="0"/>
  </cellStyles>
  <dxfs count="5">
    <dxf>
      <font>
        <color rgb="FFFFFFFF"/>
      </font>
      <fill>
        <patternFill patternType="solid">
          <fgColor rgb="FF38761D"/>
          <bgColor rgb="FF38761D"/>
        </patternFill>
      </fill>
      <border/>
    </dxf>
    <dxf>
      <font>
        <color rgb="FFFFFFFF"/>
      </font>
      <fill>
        <patternFill patternType="solid">
          <fgColor rgb="FFFF0000"/>
          <bgColor rgb="FFFF0000"/>
        </patternFill>
      </fill>
      <border/>
    </dxf>
    <dxf>
      <font>
        <color rgb="FFFF0000"/>
      </font>
      <fill>
        <patternFill patternType="solid">
          <fgColor rgb="FFFFFFFF"/>
          <bgColor rgb="FFFFFFFF"/>
        </patternFill>
      </fill>
      <border/>
    </dxf>
    <dxf>
      <font>
        <color rgb="FF000000"/>
      </font>
      <fill>
        <patternFill patternType="solid">
          <fgColor rgb="FFFFFF00"/>
          <bgColor rgb="FFFFFF00"/>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419100</xdr:colOff>
      <xdr:row>2</xdr:row>
      <xdr:rowOff>114300</xdr:rowOff>
    </xdr:from>
    <xdr:ext cx="2905125" cy="2162175"/>
    <xdr:pic>
      <xdr:nvPicPr>
        <xdr:cNvPr id="708935595"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638175</xdr:colOff>
      <xdr:row>2</xdr:row>
      <xdr:rowOff>76200</xdr:rowOff>
    </xdr:from>
    <xdr:ext cx="3324225" cy="2238375"/>
    <xdr:pic>
      <xdr:nvPicPr>
        <xdr:cNvPr id="1119095146"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23</xdr:col>
      <xdr:colOff>904875</xdr:colOff>
      <xdr:row>2</xdr:row>
      <xdr:rowOff>76200</xdr:rowOff>
    </xdr:from>
    <xdr:ext cx="3114675" cy="1971675"/>
    <xdr:pic>
      <xdr:nvPicPr>
        <xdr:cNvPr id="872333619"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quickteller.com/" TargetMode="External"/><Relationship Id="rId2" Type="http://schemas.openxmlformats.org/officeDocument/2006/relationships/hyperlink" Target="http://quicktelleer.com/"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0.63"/>
    <col customWidth="1" min="4" max="4" width="26.88"/>
    <col customWidth="1" min="5" max="5" width="21.38"/>
    <col customWidth="1" min="6" max="6" width="20.63"/>
    <col customWidth="1" min="7" max="7" width="26.38"/>
    <col customWidth="1" min="13" max="13" width="13.0"/>
  </cols>
  <sheetData>
    <row r="1">
      <c r="B1" s="1" t="s">
        <v>0</v>
      </c>
      <c r="D1" s="2" t="s">
        <v>1</v>
      </c>
    </row>
    <row r="2">
      <c r="M2" s="3"/>
    </row>
    <row r="3">
      <c r="D3" s="4"/>
      <c r="G3" s="5" t="s">
        <v>2</v>
      </c>
      <c r="J3" s="6" t="s">
        <v>3</v>
      </c>
      <c r="M3" s="7" t="s">
        <v>4</v>
      </c>
    </row>
    <row r="4">
      <c r="D4" s="4"/>
      <c r="G4" s="8" t="s">
        <v>5</v>
      </c>
      <c r="H4" s="9">
        <f>COUNTA(B27:B36)</f>
        <v>10</v>
      </c>
      <c r="I4" s="10"/>
      <c r="J4" s="8" t="s">
        <v>5</v>
      </c>
      <c r="K4" s="9">
        <f>COUNTA(I26:I37)</f>
        <v>10</v>
      </c>
      <c r="M4" s="8" t="s">
        <v>5</v>
      </c>
      <c r="N4" s="9">
        <f>COUNTA(J26:J37)</f>
        <v>10</v>
      </c>
    </row>
    <row r="5">
      <c r="D5" s="11"/>
      <c r="G5" s="12" t="s">
        <v>6</v>
      </c>
      <c r="H5" s="9">
        <f>COUNTIF(H26:H37,"Passed")</f>
        <v>6</v>
      </c>
      <c r="J5" s="12" t="s">
        <v>6</v>
      </c>
      <c r="K5" s="9">
        <f>COUNTIF(I26:I37,"Passed")</f>
        <v>6</v>
      </c>
      <c r="M5" s="12" t="s">
        <v>6</v>
      </c>
      <c r="N5" s="9">
        <f>COUNTIF(J26:J37,"Passed")</f>
        <v>6</v>
      </c>
    </row>
    <row r="6">
      <c r="G6" s="13" t="s">
        <v>7</v>
      </c>
      <c r="H6" s="9">
        <f>COUNTIF(H26:H37,"Failed")</f>
        <v>3</v>
      </c>
      <c r="J6" s="13" t="s">
        <v>7</v>
      </c>
      <c r="K6" s="9">
        <f>COUNTIF(I26:I37,"Failed")</f>
        <v>3</v>
      </c>
      <c r="M6" s="13" t="s">
        <v>7</v>
      </c>
      <c r="N6" s="9">
        <f>COUNTIF(J26:J37,"Failed")</f>
        <v>3</v>
      </c>
    </row>
    <row r="7">
      <c r="G7" s="14" t="s">
        <v>8</v>
      </c>
      <c r="H7" s="9">
        <f>COUNTIF(H26:H37,"Not executed")</f>
        <v>1</v>
      </c>
      <c r="J7" s="10" t="s">
        <v>8</v>
      </c>
      <c r="K7" s="9">
        <f>COUNTIF(I26:I37,"Not executed")</f>
        <v>1</v>
      </c>
      <c r="M7" s="15" t="s">
        <v>8</v>
      </c>
      <c r="N7" s="9">
        <f>COUNTIF(J26:J37,"Not executed")</f>
        <v>1</v>
      </c>
    </row>
    <row r="13">
      <c r="G13" s="16" t="s">
        <v>9</v>
      </c>
      <c r="H13" s="17"/>
      <c r="I13" s="17"/>
      <c r="J13" s="17"/>
      <c r="K13" s="17"/>
      <c r="L13" s="17"/>
      <c r="M13" s="17"/>
      <c r="N13" s="17"/>
      <c r="O13" s="17"/>
      <c r="P13" s="17"/>
      <c r="Q13" s="17"/>
      <c r="R13" s="17"/>
      <c r="S13" s="17"/>
      <c r="T13" s="17"/>
      <c r="U13" s="17"/>
      <c r="V13" s="17"/>
      <c r="W13" s="17"/>
      <c r="X13" s="17"/>
      <c r="Y13" s="17"/>
      <c r="Z13" s="17"/>
      <c r="AA13" s="17"/>
      <c r="AB13" s="17"/>
    </row>
    <row r="24">
      <c r="H24" s="18" t="s">
        <v>10</v>
      </c>
      <c r="I24" s="10" t="s">
        <v>11</v>
      </c>
    </row>
    <row r="25">
      <c r="A25" s="19" t="s">
        <v>12</v>
      </c>
      <c r="B25" s="20" t="s">
        <v>13</v>
      </c>
      <c r="C25" s="19" t="s">
        <v>14</v>
      </c>
      <c r="D25" s="19" t="s">
        <v>15</v>
      </c>
      <c r="E25" s="19" t="s">
        <v>16</v>
      </c>
      <c r="F25" s="19" t="s">
        <v>17</v>
      </c>
      <c r="G25" s="19" t="s">
        <v>18</v>
      </c>
      <c r="H25" s="10"/>
      <c r="I25" s="10"/>
      <c r="J25" s="10" t="s">
        <v>4</v>
      </c>
      <c r="K25" s="10" t="s">
        <v>19</v>
      </c>
      <c r="L25" s="19" t="s">
        <v>20</v>
      </c>
      <c r="M25" s="19" t="s">
        <v>21</v>
      </c>
      <c r="N25" s="19" t="s">
        <v>22</v>
      </c>
      <c r="O25" s="19"/>
      <c r="P25" s="19"/>
    </row>
    <row r="26">
      <c r="A26" s="21" t="s">
        <v>23</v>
      </c>
      <c r="B26" s="22"/>
      <c r="C26" s="23"/>
      <c r="D26" s="23"/>
      <c r="E26" s="23"/>
      <c r="F26" s="23"/>
      <c r="G26" s="23"/>
      <c r="H26" s="23"/>
      <c r="I26" s="23"/>
      <c r="J26" s="23"/>
      <c r="K26" s="23"/>
      <c r="L26" s="5" t="s">
        <v>24</v>
      </c>
      <c r="M26" s="5" t="s">
        <v>25</v>
      </c>
      <c r="N26" s="24">
        <v>45569.0</v>
      </c>
      <c r="O26" s="23"/>
      <c r="P26" s="23"/>
      <c r="Q26" s="23"/>
      <c r="R26" s="23"/>
      <c r="S26" s="23"/>
      <c r="T26" s="23"/>
      <c r="U26" s="23"/>
      <c r="V26" s="23"/>
      <c r="W26" s="23"/>
      <c r="X26" s="23"/>
      <c r="Y26" s="23"/>
      <c r="Z26" s="23"/>
      <c r="AA26" s="23"/>
      <c r="AB26" s="23"/>
    </row>
    <row r="27">
      <c r="B27" s="10" t="s">
        <v>26</v>
      </c>
      <c r="C27" s="18" t="s">
        <v>27</v>
      </c>
      <c r="D27" s="25" t="s">
        <v>28</v>
      </c>
      <c r="E27" s="18" t="s">
        <v>29</v>
      </c>
      <c r="F27" s="18" t="s">
        <v>30</v>
      </c>
      <c r="G27" s="18" t="s">
        <v>31</v>
      </c>
      <c r="H27" s="10" t="s">
        <v>32</v>
      </c>
      <c r="I27" s="10" t="s">
        <v>32</v>
      </c>
      <c r="J27" s="18" t="s">
        <v>32</v>
      </c>
      <c r="L27" s="10" t="s">
        <v>24</v>
      </c>
      <c r="M27" s="10" t="s">
        <v>25</v>
      </c>
      <c r="N27" s="26">
        <v>45569.0</v>
      </c>
    </row>
    <row r="28">
      <c r="B28" s="10" t="s">
        <v>33</v>
      </c>
      <c r="C28" s="18" t="s">
        <v>34</v>
      </c>
      <c r="D28" s="27" t="s">
        <v>35</v>
      </c>
      <c r="E28" s="18" t="s">
        <v>36</v>
      </c>
      <c r="F28" s="18" t="s">
        <v>37</v>
      </c>
      <c r="G28" s="18" t="s">
        <v>38</v>
      </c>
      <c r="H28" s="10" t="s">
        <v>32</v>
      </c>
      <c r="I28" s="10" t="s">
        <v>32</v>
      </c>
      <c r="J28" s="10" t="s">
        <v>32</v>
      </c>
      <c r="L28" s="10" t="s">
        <v>24</v>
      </c>
      <c r="M28" s="10" t="s">
        <v>25</v>
      </c>
      <c r="N28" s="26">
        <v>45569.0</v>
      </c>
    </row>
    <row r="29">
      <c r="B29" s="10" t="s">
        <v>39</v>
      </c>
      <c r="C29" s="18" t="s">
        <v>40</v>
      </c>
      <c r="D29" s="27" t="s">
        <v>41</v>
      </c>
      <c r="E29" s="28" t="s">
        <v>42</v>
      </c>
      <c r="F29" s="18" t="s">
        <v>43</v>
      </c>
      <c r="G29" s="18" t="s">
        <v>38</v>
      </c>
      <c r="H29" s="10" t="s">
        <v>32</v>
      </c>
      <c r="I29" s="10" t="s">
        <v>32</v>
      </c>
      <c r="J29" s="10" t="s">
        <v>32</v>
      </c>
      <c r="L29" s="10" t="s">
        <v>24</v>
      </c>
      <c r="M29" s="10" t="s">
        <v>25</v>
      </c>
      <c r="N29" s="26">
        <v>45569.0</v>
      </c>
    </row>
    <row r="30">
      <c r="B30" s="10" t="s">
        <v>44</v>
      </c>
      <c r="C30" s="18" t="s">
        <v>45</v>
      </c>
      <c r="D30" s="27" t="s">
        <v>46</v>
      </c>
      <c r="E30" s="28" t="s">
        <v>47</v>
      </c>
      <c r="F30" s="18" t="s">
        <v>48</v>
      </c>
      <c r="G30" s="18" t="s">
        <v>38</v>
      </c>
      <c r="H30" s="10" t="s">
        <v>32</v>
      </c>
      <c r="I30" s="10" t="s">
        <v>32</v>
      </c>
      <c r="J30" s="10" t="s">
        <v>32</v>
      </c>
      <c r="L30" s="10" t="s">
        <v>24</v>
      </c>
      <c r="M30" s="10" t="s">
        <v>25</v>
      </c>
      <c r="N30" s="26">
        <v>45569.0</v>
      </c>
    </row>
    <row r="31">
      <c r="B31" s="10" t="s">
        <v>49</v>
      </c>
      <c r="C31" s="18" t="s">
        <v>50</v>
      </c>
      <c r="D31" s="27" t="s">
        <v>51</v>
      </c>
      <c r="E31" s="28" t="s">
        <v>52</v>
      </c>
      <c r="F31" s="18" t="s">
        <v>53</v>
      </c>
      <c r="G31" s="18" t="s">
        <v>38</v>
      </c>
      <c r="H31" s="10" t="s">
        <v>32</v>
      </c>
      <c r="I31" s="10" t="s">
        <v>32</v>
      </c>
      <c r="J31" s="10" t="s">
        <v>32</v>
      </c>
      <c r="L31" s="10" t="s">
        <v>24</v>
      </c>
      <c r="M31" s="10" t="s">
        <v>25</v>
      </c>
      <c r="N31" s="26">
        <v>45569.0</v>
      </c>
    </row>
    <row r="32">
      <c r="B32" s="10" t="s">
        <v>54</v>
      </c>
      <c r="C32" s="18" t="s">
        <v>55</v>
      </c>
      <c r="D32" s="25" t="s">
        <v>56</v>
      </c>
      <c r="E32" s="28" t="s">
        <v>57</v>
      </c>
      <c r="F32" s="18" t="s">
        <v>58</v>
      </c>
      <c r="G32" s="18" t="s">
        <v>38</v>
      </c>
      <c r="H32" s="10" t="s">
        <v>59</v>
      </c>
      <c r="I32" s="10" t="s">
        <v>59</v>
      </c>
      <c r="J32" s="10" t="s">
        <v>59</v>
      </c>
      <c r="L32" s="10" t="s">
        <v>24</v>
      </c>
      <c r="M32" s="10" t="s">
        <v>25</v>
      </c>
      <c r="N32" s="26">
        <v>45569.0</v>
      </c>
    </row>
    <row r="33">
      <c r="B33" s="10" t="s">
        <v>60</v>
      </c>
      <c r="C33" s="18" t="s">
        <v>61</v>
      </c>
      <c r="D33" s="25" t="s">
        <v>62</v>
      </c>
      <c r="E33" s="18" t="s">
        <v>63</v>
      </c>
      <c r="F33" s="18" t="s">
        <v>64</v>
      </c>
      <c r="G33" s="18" t="s">
        <v>31</v>
      </c>
      <c r="H33" s="10" t="s">
        <v>32</v>
      </c>
      <c r="I33" s="10" t="s">
        <v>32</v>
      </c>
      <c r="J33" s="10" t="s">
        <v>32</v>
      </c>
      <c r="L33" s="10" t="s">
        <v>24</v>
      </c>
      <c r="M33" s="10" t="s">
        <v>25</v>
      </c>
      <c r="N33" s="26">
        <v>45569.0</v>
      </c>
    </row>
    <row r="34">
      <c r="B34" s="10" t="s">
        <v>65</v>
      </c>
      <c r="C34" s="18" t="s">
        <v>66</v>
      </c>
      <c r="D34" s="29" t="s">
        <v>67</v>
      </c>
      <c r="E34" s="18" t="s">
        <v>68</v>
      </c>
      <c r="F34" s="18" t="s">
        <v>69</v>
      </c>
      <c r="G34" s="18" t="s">
        <v>70</v>
      </c>
      <c r="H34" s="10" t="s">
        <v>59</v>
      </c>
      <c r="I34" s="10" t="s">
        <v>59</v>
      </c>
      <c r="J34" s="10" t="s">
        <v>59</v>
      </c>
      <c r="L34" s="10" t="s">
        <v>24</v>
      </c>
      <c r="M34" s="10" t="s">
        <v>25</v>
      </c>
      <c r="N34" s="26">
        <v>45569.0</v>
      </c>
    </row>
    <row r="35">
      <c r="B35" s="10" t="s">
        <v>71</v>
      </c>
      <c r="C35" s="18" t="s">
        <v>72</v>
      </c>
      <c r="D35" s="25" t="s">
        <v>73</v>
      </c>
      <c r="E35" s="18" t="s">
        <v>68</v>
      </c>
      <c r="F35" s="18" t="s">
        <v>74</v>
      </c>
      <c r="G35" s="18"/>
      <c r="H35" s="10" t="s">
        <v>8</v>
      </c>
      <c r="I35" s="10" t="s">
        <v>8</v>
      </c>
      <c r="J35" s="10" t="s">
        <v>8</v>
      </c>
      <c r="L35" s="10" t="s">
        <v>24</v>
      </c>
      <c r="M35" s="10" t="s">
        <v>25</v>
      </c>
      <c r="N35" s="26">
        <v>45569.0</v>
      </c>
    </row>
    <row r="36">
      <c r="B36" s="10" t="s">
        <v>75</v>
      </c>
      <c r="C36" s="18" t="s">
        <v>76</v>
      </c>
      <c r="D36" s="25" t="s">
        <v>77</v>
      </c>
      <c r="E36" s="18" t="s">
        <v>68</v>
      </c>
      <c r="F36" s="18" t="s">
        <v>78</v>
      </c>
      <c r="G36" s="18" t="s">
        <v>79</v>
      </c>
      <c r="H36" s="18" t="s">
        <v>59</v>
      </c>
      <c r="I36" s="18" t="s">
        <v>59</v>
      </c>
      <c r="J36" s="18" t="s">
        <v>59</v>
      </c>
      <c r="L36" s="10" t="s">
        <v>24</v>
      </c>
      <c r="M36" s="10" t="s">
        <v>25</v>
      </c>
      <c r="N36" s="26">
        <v>45569.0</v>
      </c>
    </row>
    <row r="37">
      <c r="C37" s="18"/>
      <c r="D37" s="18"/>
    </row>
  </sheetData>
  <conditionalFormatting sqref="H27:J36 G35">
    <cfRule type="containsText" dxfId="0" priority="1" operator="containsText" text="Passed">
      <formula>NOT(ISERROR(SEARCH(("Passed"),(H27))))</formula>
    </cfRule>
  </conditionalFormatting>
  <conditionalFormatting sqref="H27:J36 G35">
    <cfRule type="containsText" dxfId="1" priority="2" operator="containsText" text="Failed">
      <formula>NOT(ISERROR(SEARCH(("Failed"),(H27))))</formula>
    </cfRule>
  </conditionalFormatting>
  <conditionalFormatting sqref="H1:J1000 G35">
    <cfRule type="containsText" dxfId="2" priority="3" operator="containsText" text="cannot">
      <formula>NOT(ISERROR(SEARCH(("cannot"),(H1))))</formula>
    </cfRule>
  </conditionalFormatting>
  <conditionalFormatting sqref="C27:C36">
    <cfRule type="containsText" dxfId="2" priority="4" operator="containsText" text="cannot">
      <formula>NOT(ISERROR(SEARCH(("cannot"),(C27))))</formula>
    </cfRule>
  </conditionalFormatting>
  <conditionalFormatting sqref="H1:H100">
    <cfRule type="containsText" dxfId="3" priority="5" operator="containsText" text="Not executed">
      <formula>NOT(ISERROR(SEARCH(("Not executed"),(H1))))</formula>
    </cfRule>
  </conditionalFormatting>
  <conditionalFormatting sqref="H35">
    <cfRule type="notContainsBlanks" dxfId="4" priority="6">
      <formula>LEN(TRIM(H35))&gt;0</formula>
    </cfRule>
  </conditionalFormatting>
  <conditionalFormatting sqref="J1:J100">
    <cfRule type="containsText" dxfId="3" priority="7" operator="containsText" text="Not executed">
      <formula>NOT(ISERROR(SEARCH(("Not executed"),(J1))))</formula>
    </cfRule>
  </conditionalFormatting>
  <conditionalFormatting sqref="I1:I100">
    <cfRule type="containsText" dxfId="3" priority="8" operator="containsText" text="Not executed">
      <formula>NOT(ISERROR(SEARCH(("Not executed"),(I1))))</formula>
    </cfRule>
  </conditionalFormatting>
  <conditionalFormatting sqref="I35">
    <cfRule type="notContainsBlanks" dxfId="4" priority="9">
      <formula>LEN(TRIM(I35))&gt;0</formula>
    </cfRule>
  </conditionalFormatting>
  <hyperlinks>
    <hyperlink r:id="rId1" ref="G13"/>
    <hyperlink r:id="rId2" ref="D34"/>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