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<sst xmlns="http://schemas.openxmlformats.org/spreadsheetml/2006/main" count="378" uniqueCount="199">
  <si>
    <t>Compartibity Tests using Mozilla Firefox, Chrome and Internet Explorer(Edge)</t>
  </si>
  <si>
    <t>FIREFOX</t>
  </si>
  <si>
    <t>CYCLE 1</t>
  </si>
  <si>
    <t>CHROME</t>
  </si>
  <si>
    <t xml:space="preserve">CYCLE 1 </t>
  </si>
  <si>
    <t>INTERNET EXPLORER</t>
  </si>
  <si>
    <t>Total Test Cases</t>
  </si>
  <si>
    <t xml:space="preserve">Total Test cases </t>
  </si>
  <si>
    <t>Passed</t>
  </si>
  <si>
    <t>Failed</t>
  </si>
  <si>
    <t>Not executed</t>
  </si>
  <si>
    <t>HART</t>
  </si>
  <si>
    <t>Test Suite ID</t>
  </si>
  <si>
    <t>Test Case ID</t>
  </si>
  <si>
    <t>Test Case Description</t>
  </si>
  <si>
    <t>Test Steps</t>
  </si>
  <si>
    <t>Test Data</t>
  </si>
  <si>
    <t>Expected Results</t>
  </si>
  <si>
    <t>Actual Results</t>
  </si>
  <si>
    <t>Firefox on PC</t>
  </si>
  <si>
    <t>Chrome on PC Test Result</t>
  </si>
  <si>
    <t xml:space="preserve"> IE on PC </t>
  </si>
  <si>
    <t>Cycle 2</t>
  </si>
  <si>
    <t>Comments</t>
  </si>
  <si>
    <t>Created by</t>
  </si>
  <si>
    <t>Created Date</t>
  </si>
  <si>
    <t>Feature name: Sign up</t>
  </si>
  <si>
    <t>SU_01</t>
  </si>
  <si>
    <t>Verify that user can signup with valid user name, email and password</t>
  </si>
  <si>
    <t>visit Quickteller url
-Input the valid details:name,email, mobile phone number and a strong password
-confirm password
-accept terms and conditions
-click the "Signup" button</t>
  </si>
  <si>
    <t>Quickteller url: Quickteller.com
valid phone number: 0803.......
valid name: Abidemi Adeloye
valid password:  xxxxxxxxxx
valid email: badeloye@gmail.com</t>
  </si>
  <si>
    <t>-User is sent a verification email and code for completing regisrtation of the account.
- User is redirected to the dashborad/home page and a welcome page</t>
  </si>
  <si>
    <t xml:space="preserve">User is sent a verification email and code to verify account
- user on entering in the code is directed to a 'Verify your phone number box
-user enters the valid phone number and clicks on continue.
-user receives a welcome email
User sign up was successful
</t>
  </si>
  <si>
    <t>None</t>
  </si>
  <si>
    <t>Abidemi Adeloye</t>
  </si>
  <si>
    <t xml:space="preserve">Summary: </t>
  </si>
  <si>
    <t>SU_02</t>
  </si>
  <si>
    <t>Verify that user cannot signup with an email that is already in use by someone else</t>
  </si>
  <si>
    <t>visit Quickteller url
-Input the valid details:name, mobile phone number and a strong password
-input an email adress already in use by someone esle
-confirm password
-click the "Signup" button</t>
  </si>
  <si>
    <t>Quickteller url: Quickteller.com
valid phone number: 0803.....
valid name: Abidemi Adeloye
valid password:  xxxxxxxx
invalid email: gadeleke@yahoo.com</t>
  </si>
  <si>
    <t>An error message indicating that the email adress is already in use 
"This email already exists, Please Login or use another email" was displayed.</t>
  </si>
  <si>
    <t>User was not signed up</t>
  </si>
  <si>
    <t>SU_03</t>
  </si>
  <si>
    <t>Verify that user cannot signup  without inputting the valid details into the required fields</t>
  </si>
  <si>
    <t>visit Quickteller url
-Leave the name, email, phone number and password fields blank
-click the "Signup" button</t>
  </si>
  <si>
    <t>Quickteller url: Quickteller.com
Blank phone number
Blank email
Blank password
click the "Signup Button"</t>
  </si>
  <si>
    <t xml:space="preserve">Error messages are displayed for each of the fields that are left blank
-"    Please enter your first name, Please enter your last name" etc...
</t>
  </si>
  <si>
    <t>SU_04</t>
  </si>
  <si>
    <t xml:space="preserve">Verify that user cannot signup using an incorrectly formatted email </t>
  </si>
  <si>
    <t>visit Quickteller url
-Input the valid details:name, mobile phone number and a strong password
-Input an invalid email format:badeloye@gmail
-click the "Signup" button</t>
  </si>
  <si>
    <t xml:space="preserve">Quickteller url: Quickteller.com
valid phone number: 0803.....
valid name: Abidemi Adeloye
invalid email format: badeloye@gmail
</t>
  </si>
  <si>
    <t>An error message is displayed indicating that the email format is invalid
-"    Please enter a valid email address "</t>
  </si>
  <si>
    <t>SU_05</t>
  </si>
  <si>
    <t>Verify that user cannot signup using a phone number with an invalid format</t>
  </si>
  <si>
    <t>visit Quickteller url
-Input the valid details:name 
-Input a valid email:badeloye@gmail.com
-input a phone number with an invalid format: 247749000
-click the "Signup" button</t>
  </si>
  <si>
    <t xml:space="preserve">Quickteller url: Quickteller.com
valid email:badeloye@gmail.com
invalid phone number format:  247749000
valid name: Abidemi Adeloye
</t>
  </si>
  <si>
    <t>An error message is displayed indicating that the phone number format is invalid
"Please enter a valid mobile number"</t>
  </si>
  <si>
    <t>SU _06</t>
  </si>
  <si>
    <t>Verify that user cannot sign up with an unusual First name and valid last name</t>
  </si>
  <si>
    <t>visit Quickteller url
-Input the invalid first name: 10
valid last name: Blessing
-Input a valid email:bless22@yahoo.com
-input a valid phone number: 08032221816
-input a valid password: Nn#b22_kkb
-click the "Signup" button</t>
  </si>
  <si>
    <t xml:space="preserve">Quickteller url: Quickteller.com
valid phone number format:  08032221816
invalid first name: 10
valid last name: Blessing
valid password:  Nn#b22_kb
</t>
  </si>
  <si>
    <t>An error message is displayed that the first name is invalid
-Please enter in a vaild First name</t>
  </si>
  <si>
    <t>- A message was displayed on the site saying "Registration was successful
We sent you an email with your activation code"
-User was signed up</t>
  </si>
  <si>
    <t>SU_07</t>
  </si>
  <si>
    <t>Verify that all User Interface elements are displayed correctly on the signup page</t>
  </si>
  <si>
    <t>visit Quickteller url
-Inspect the layout of the Signup page
-verify that all input fields, labels and buttons are present</t>
  </si>
  <si>
    <t>Quickteller url: Quickteller.com
valid phone number: 0803........
valid name: Abidemi Adeloye
valid password:  xxxxxxxxx
valid email: badeloye@gmail.com</t>
  </si>
  <si>
    <t>All User Interface(UI) elements are present, correctly labelled , and aligned properly</t>
  </si>
  <si>
    <t>User was signup successfully</t>
  </si>
  <si>
    <t>SU_08</t>
  </si>
  <si>
    <t>Verify that user cannot signup with a  phone number less than 11 digits</t>
  </si>
  <si>
    <t>visit Quickteller url
-Input the valid name: Actor John
-Input a valid email:act10@yahoo.com
-input a invalid phone number: 0803456229
-input a strong valid password: nnop_72
-click the "Signup" button</t>
  </si>
  <si>
    <t>Quickteller url: Quickteller.com
valid phone number: 0803456229
valid name: Actor John
valid password:  nnop_72
valid email: act10@yahoo.com</t>
  </si>
  <si>
    <t>An error message is displayed 
"Plaese enter a valid phone number"</t>
  </si>
  <si>
    <t>SU_09</t>
  </si>
  <si>
    <t>Verify that user cannot sign up using a phone number with more than 12  digits</t>
  </si>
  <si>
    <t>visit Quickteller url
-Input the valid details:Actor John
-Input a valid email:act10@yahoo.com
-input a invalid phone number: 0803456229128
-input a valid password: nnop_72
-click the "Signup" button</t>
  </si>
  <si>
    <r>
      <rPr/>
      <t xml:space="preserve">Quickteller url: </t>
    </r>
    <r>
      <rPr>
        <color rgb="FF1155CC"/>
        <u/>
      </rPr>
      <t>quickteller.com</t>
    </r>
    <r>
      <rPr/>
      <t xml:space="preserve"> 
invalid phone number: 0803456229128
valid name: Actor John
valid password:  nnop_72
valid email: Act10@yahoo.com</t>
    </r>
  </si>
  <si>
    <t>SU_10</t>
  </si>
  <si>
    <t>Verify that user cannot signup without accepting the terms and conditions</t>
  </si>
  <si>
    <t>visit Quickteller url
-Input the valid details:Goke Adeleke
-Input a valid email:g@yahoo.com
-input a valid phone number: 08054567865
-input a strong valid password
-confirm using an invalid password
- Leave the terms and conditions checkbox
unchecked
-click the "Signup" button</t>
  </si>
  <si>
    <t>Quickteller url: Quickteller.com
valid phone number: 08054567865
valid name: Goke Adeleke
valid password:  fffcccc....
valid email: g@yahoo.com
Terms and conditions box: unchecked</t>
  </si>
  <si>
    <t>User was blocked from contiueing the signup process</t>
  </si>
  <si>
    <t>SU -11</t>
  </si>
  <si>
    <t>Verify that user cannot signup by using special characters in the name field, a valid password and phone number</t>
  </si>
  <si>
    <t>visit Quickteller url
-Input special characers in the name (Bin#&amp;tu Adele
-Input a valid email:b@yahoo.com
-input a valid phone number: 08025647856
-input a strong valid password
-confirm password inputted
- Agree to terms and conditions by clicking the checkbox
-click the "Signup" button</t>
  </si>
  <si>
    <t>Quickteller url: Quickteller.com
valid phone number: 08025647856
invalid name: Bin#&amp;tu Adele
valid password:  Bnv.......
valid email: bin@gmail.com
Terms and conditions box: is checked</t>
  </si>
  <si>
    <t>An error message is displayed indicating invalid characters in the name field</t>
  </si>
  <si>
    <t>-User was signup successfully
-A message was displayed "Registration was successful
We sent you an email with your activation code"</t>
  </si>
  <si>
    <t>SIGN IN</t>
  </si>
  <si>
    <t>SI_001</t>
  </si>
  <si>
    <t>Verify that user can sucessfully sign in with valid credentials</t>
  </si>
  <si>
    <t>visit Quickteller url
-Input the valid details:name,email, mobile phone number and a strong password
-confirm password
-accept terms and conditions
-click the "Sign In" button</t>
  </si>
  <si>
    <t>User is redirected to the dasboard/homepage and a welcome is displayed</t>
  </si>
  <si>
    <t>User sign in was successful</t>
  </si>
  <si>
    <t>SI_ 002</t>
  </si>
  <si>
    <t>Verify that user cannot sign in with an  invalid email format</t>
  </si>
  <si>
    <t>visit Quickteller url
-Input the valid details:name,mobile phone number and a strong password
-confirm password
-input an invalid email format: badeloye@gmail
-accept terms and conditions
-click the "Sign In" button</t>
  </si>
  <si>
    <t>Quickteller url: Quickteller.com
valid phone number: 0803....
valid name: Abidemi Adeoye
invalid email format: badeloye@gmail</t>
  </si>
  <si>
    <t>An error message is displayed indicating that the email format is invalid</t>
  </si>
  <si>
    <t>User could not sign in</t>
  </si>
  <si>
    <t>SI_ 003</t>
  </si>
  <si>
    <t>Verify that user cannot sign in with a correct email but an incorrect password</t>
  </si>
  <si>
    <t>visit Quickteller url
-Input the valid details:name,mobile phone number 
-Input an invalid password
-confirm password
-input a valid email: anna@yahoo.com
-accept terms and conditions
-click the "Sign In" button</t>
  </si>
  <si>
    <t>Quickteller url: Quickteller.com
Input valid phone number: 08034534589
Input valid name: Abidemi Adeloye
Input an invalid password:  xxxcbg833
Input a valid email: badeloye@gmail.com</t>
  </si>
  <si>
    <t>An error message is displayed indicating that the password is incorrect</t>
  </si>
  <si>
    <t>SI_004</t>
  </si>
  <si>
    <t>Verify that user cannot sign in with a blank email field</t>
  </si>
  <si>
    <t>visit Quickteller url
-Input the valid details:name,mobile phone number 
-Input a valid password
-confirm password
-Leave the email field blank
-accept terms and conditions
-click the "Sign In" button</t>
  </si>
  <si>
    <t>Quickteller url: Quickteller.com
Input valid phone number: 0803......
Input valid name: Abidemi Adeloye
Input a valid password:xxxxxxx
Email field: Blank</t>
  </si>
  <si>
    <t>An error message is displayed indicating that the email field cannot be empty
-"Please enter your email or mobile number"</t>
  </si>
  <si>
    <t>SI_ 005</t>
  </si>
  <si>
    <t>verify that user cannot sign in with a blank password field</t>
  </si>
  <si>
    <t>visit Quickteller url
-Input the valid details:name,mobile phone number 
-Leave the password field empty
- Do not confirm password
-Input a valid email
-accept terms and conditions
-click the "Sign In" button</t>
  </si>
  <si>
    <t>Quickteller url: Quickteller.com
Input valid phone number: 0803.......
Input valid name: Abidemi Adeloye
Leave password field blank 
Input valid email.badeloy@gmail.com</t>
  </si>
  <si>
    <t>An error message is displayed indicating that the password  field cannot be empty</t>
  </si>
  <si>
    <t>SI_ 006</t>
  </si>
  <si>
    <t>Verify that a user can sign in with an unregistered email</t>
  </si>
  <si>
    <t>visit Quickteller url
-Input the valid details:name,mobile phone number and a strong password
-confirm password
-Input an unregistered email
-accept terms and conditions
-click the "Sign In" button</t>
  </si>
  <si>
    <t>Quickteller url: Quickteller.com
Input valid phone number: 0803.......
Input valid name: Abidemi Adeloye
Leave password:xxxcbg833    
Input valid email.badeloywwww</t>
  </si>
  <si>
    <t>An error message is displayed indicating that the  email is not registered</t>
  </si>
  <si>
    <t>SI_ 007</t>
  </si>
  <si>
    <t>Verify that the user password visibility toggle works as expected</t>
  </si>
  <si>
    <t>visit Quickteller url
-Input the valid details:name,email, mobile phone number 
-Input password and toggle the visibility
-confirm password
-accept terms and conditions
-click the "Sign In" button</t>
  </si>
  <si>
    <t>Quickteller url: Quickteller.com
valid phone number: 0803.......
valid name: Abidemi Adeloye
valid password: xxxcbg833  
valid email: badeloye@gmail.com</t>
  </si>
  <si>
    <t>Password characters are displayed/hidden as expected</t>
  </si>
  <si>
    <t>SI_ 008</t>
  </si>
  <si>
    <t xml:space="preserve">Verify that the 'remember me' option keeps the user signed in </t>
  </si>
  <si>
    <r>
      <rPr>
        <rFont val="Arial"/>
        <sz val="12.0"/>
      </rPr>
      <t xml:space="preserve">visit Quickteller url
-Input the valid details:name,email, mobile phone number and a strong password
-confirm password
-Check the "remember me" checkbox
-click on sign in button
-Log out
-Close and reopen the browser
-Navigate to </t>
    </r>
    <r>
      <rPr>
        <rFont val="Arial"/>
        <color rgb="FF1155CC"/>
        <sz val="12.0"/>
        <u/>
      </rPr>
      <t>Quickteller.com</t>
    </r>
  </si>
  <si>
    <t>Quickteller url: Quickteller.com
valid phone number: 0803.....
valid name: Abidemi Adeloye
valid password:  xxxcbg833
valid email: badeloye@gmail.com.com</t>
  </si>
  <si>
    <t>User is able to sign in without having to enter valid credentilas again</t>
  </si>
  <si>
    <t xml:space="preserve">User sign in was not sucessful
A message was displayed:"Please enter your password" </t>
  </si>
  <si>
    <t>SI_ 009</t>
  </si>
  <si>
    <t>Verify that user's account cannot be locked out after multiple failed accounts</t>
  </si>
  <si>
    <t>visit Quickteller url
-Input the valid details:name,email, mobile phone number 
-Input an incorrect password five times
-Then input correct password
-click the "Sign In" button</t>
  </si>
  <si>
    <t>An error message is displayed indicating that the account has been locked due to multiple failed attempts</t>
  </si>
  <si>
    <t>SI_ 010</t>
  </si>
  <si>
    <t>Verify that user's account can time out after a period of inactivity</t>
  </si>
  <si>
    <t xml:space="preserve">visit Quickteller url
-Input the valid details:name,email, mobile phone number and a strong password
-confirm password
-accept terms and conditions
-click the "Sign In" button
- Leave the session idle for the specified timeout duration (2-5mins)
- Try to navigate to another page </t>
  </si>
  <si>
    <t>User is redirected to the sign in page with a message indicating the session has timed out</t>
  </si>
  <si>
    <t>User's account did not time after a 30mins period of inactivity</t>
  </si>
  <si>
    <t>Forgot Password</t>
  </si>
  <si>
    <t>FG_01</t>
  </si>
  <si>
    <t>Verify that user can receive a password reset after inputting a valid email</t>
  </si>
  <si>
    <t>Input registered email: badeloye@gmail.com</t>
  </si>
  <si>
    <t>Quickteller url: Quickteller.com
valid phone number: 0803.........
valid name: Abidemi Adeloye
invalid password:mmallxx
valid email: badeloye@gmail.com</t>
  </si>
  <si>
    <t>-A password reset email is sent to user's valid email with a link 
to login</t>
  </si>
  <si>
    <t>Password reset was successful</t>
  </si>
  <si>
    <t>FG_02</t>
  </si>
  <si>
    <t>Verify that user cannot use an unregistered email and forgot password feature to receive the link</t>
  </si>
  <si>
    <t>Input an unregistered email: gggbada45@yahoo.com
-Leave password blank
-Click on forgot password</t>
  </si>
  <si>
    <t>Quickteller url: Quickteller.com
valid phone number: 0803......
valid name: Abidemi Adeloye
 password: Blank
unregistered email: ggggbada45@yahoo.com</t>
  </si>
  <si>
    <t>An error mesage is displayed indicating that "Email address is not found"
-Please enter a valid email address</t>
  </si>
  <si>
    <t>Forgot password reset not successful</t>
  </si>
  <si>
    <t>FG_03</t>
  </si>
  <si>
    <t>Verify that user can use an empty email field to be able to access account using the forgot password</t>
  </si>
  <si>
    <t>Leave email field blank
-Leave password blank
-Click on forgot password</t>
  </si>
  <si>
    <t>Quickteller url: Quickteller.com
valid phone number: 0803........
valid name: Abidemi Adeloye
 password: blank
email: blank</t>
  </si>
  <si>
    <t>An error mesage is displayed "Please enter your email address"</t>
  </si>
  <si>
    <t>FG_04</t>
  </si>
  <si>
    <t>Verify that user can send multiple requests for a forgot password reset</t>
  </si>
  <si>
    <t>-Input valid email: badeloye@gmail.com
- Use the email to request for forgot password reset multiple times</t>
  </si>
  <si>
    <t>Quickteller url: Quickteller.com
valid phone number: 0803.......
valid name: Abidemi Adeloye
 password: blank
Valid email:badeloye@gmail.com</t>
  </si>
  <si>
    <t>User receives only one password reset or a mesage that a email has already been sent</t>
  </si>
  <si>
    <t>Forgot password reset successful</t>
  </si>
  <si>
    <t>FG_05</t>
  </si>
  <si>
    <t>Verify that user cannot use the forgot password reset link after it expires</t>
  </si>
  <si>
    <t>-Input valid email: badeloye@gmail.com
-Leave password blank
- Use the email to request for forgot password reset link
-Link is sent to the email
-Click on the link after it expires</t>
  </si>
  <si>
    <t>Quickteller url: Quickteller.com
valid phone number: 0803.........
valid name: Abidemi Adeloye
 password: blank
Valid email:badeloye@gmail.com</t>
  </si>
  <si>
    <t>User receives a message indicating that the link has expired and is prompted to request for a new one.</t>
  </si>
  <si>
    <t>FG_06</t>
  </si>
  <si>
    <t>Verify that user can use the forgot password link to reset the account's password</t>
  </si>
  <si>
    <t>-Input valid email: anna@yahoo.com
-Leave password blank
- Use the email to request for forgot password reset link
-Link is sent to the email
-Click on the link to reset the password
- Input a new valid password</t>
  </si>
  <si>
    <t>Quickteller url: Quickteller.com
valid phone number: 0803.........
valid name: Abidemi Adeloye
 password: Blank
Valid email:badeloye@gmail.com</t>
  </si>
  <si>
    <t>User sucessfully logs in with the new password
using the reset code sent to user's email</t>
  </si>
  <si>
    <t>Forgot password reset  successful</t>
  </si>
  <si>
    <t>FG_07</t>
  </si>
  <si>
    <t xml:space="preserve">Verify that user can login by inputting two different new passwords during the reset process </t>
  </si>
  <si>
    <t>-Input valid email: badeloye@gmail.com
-Leave password blank
- Use the email to request for forgot password reset link
-Link is sent to the email
-Click on the link to reset the password
- Input two different new  passwords</t>
  </si>
  <si>
    <t>Quickteller url: Quickteller.com
valid phone number: 0803............
valid name: Abidemi Adeloye
 password: xxxxxxxx
confirm password:bnv214&amp;ax
Valid email:badeloye@gmail.com</t>
  </si>
  <si>
    <t xml:space="preserve">An error mesage is displayed indicating that the passwords do not match </t>
  </si>
  <si>
    <t>FG_08</t>
  </si>
  <si>
    <t xml:space="preserve">Verify that user can reset the account by inputting a weak password </t>
  </si>
  <si>
    <t>-Input valid email: badeloye@gmail.com
- Use the email to request for forgot password reset link
-Link is sent to the email
-Click on the link to reset the password
- Input a weak (short) password</t>
  </si>
  <si>
    <t>Quickteller url: Quickteller.com
valid phone number: 0803......
valid name: Abidemi Adeloye
 password: Wu24
Valid email:badeloye@gmail.com</t>
  </si>
  <si>
    <t>An error mesage is displayed indicating that the password must meet the specified criteria</t>
  </si>
  <si>
    <t>FG_09</t>
  </si>
  <si>
    <t>Verify that user cannot reset password with an empty email field</t>
  </si>
  <si>
    <t xml:space="preserve">-Leave email field empty
-Click on continue </t>
  </si>
  <si>
    <r>
      <rPr>
        <rFont val="Arial"/>
      </rPr>
      <t xml:space="preserve">Quickteller url: </t>
    </r>
    <r>
      <rPr>
        <rFont val="Arial"/>
        <color rgb="FF1155CC"/>
        <u/>
      </rPr>
      <t>www.Quickteller.com</t>
    </r>
    <r>
      <rPr>
        <rFont val="Arial"/>
      </rPr>
      <t xml:space="preserve"> 
</t>
    </r>
  </si>
  <si>
    <t xml:space="preserve">An error message is displayed indicating that an email must be inputted
" Please enter your email"
</t>
  </si>
  <si>
    <t>Forgot password reset  was not successful</t>
  </si>
  <si>
    <t>FG_10</t>
  </si>
  <si>
    <t>Verify that user can use an email with special characters to request for "forgot password" reset</t>
  </si>
  <si>
    <t xml:space="preserve">-Input email with special charactersl: bade&amp;#@gmail.com
- Use the email to request for forgot password reset link
-Link is sent to the email
-Click on the link to reset the password
- Input a new valid password
</t>
  </si>
  <si>
    <t xml:space="preserve">Quickteller url: Quickteller.com
valid phone number: 08034534589
valid name: Bada Goke
 New password:Got7614_qat : 
Valid email:bada@#21@yahoo.com
</t>
  </si>
  <si>
    <t>A password reset email is sent successfully</t>
  </si>
  <si>
    <r>
      <rPr>
        <b/>
      </rPr>
      <t xml:space="preserve">Summary: The Sign up feature of </t>
    </r>
    <r>
      <rPr>
        <b/>
        <color rgb="FF1155CC"/>
        <u/>
      </rPr>
      <t>Quickteller.com</t>
    </r>
    <r>
      <rPr>
        <b/>
      </rPr>
      <t xml:space="preserve">  was tested on different browsers and the results are as follows: Chrome 72.7% passed while 18.2% failed; Internet Explorer 69.2% passed while 15.4% failed; Mozilla Firefox 66.7% passed, 8.3% failed and 16.7% were not executed. Overall the feature performed well under different valid and invalid conditions. A critical issue occured in Test case 6: user registration suceeded even though the valid password and confirmation password were diferent; this ought not to be. Every other user experience experience was consistent with expectations.</t>
    </r>
  </si>
  <si>
    <r>
      <rPr/>
      <t xml:space="preserve">Summary: The Sign up feature of </t>
    </r>
    <r>
      <rPr>
        <color rgb="FF1155CC"/>
        <u/>
      </rPr>
      <t>Quickteller.com</t>
    </r>
    <r>
      <rPr/>
      <t xml:space="preserve">  was tested on different browsers and the results are as follows: Chrome 72.7% passed while 18.2% failed; Internet Explorer 69.2% passed while 15.4% failed; Mozilla Firefox 66.7% passed, 8.3% failed and 16.7% were not executed. Overall the feature performed well under different valid and invalid conditions. A critical issue occured in Test case 6: user registration suceeded even though the valid password and confirmation password were diferent; this ought not to be. Every other user experience experience was consistent with expectations.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</si>
</sst>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sz val="12.0"/>
      <color theme="1"/>
      <name val="Arial"/>
    </font>
    <font>
      <color rgb="FFFFFFFF"/>
      <name val="Arial"/>
    </font>
    <font>
      <color rgb="FFFF0000"/>
      <name val="Arial"/>
    </font>
    <font>
      <u/>
      <sz val="12.0"/>
      <color rgb="FF0000FF"/>
      <name val="Arial"/>
    </font>
    <font>
      <u/>
      <color rgb="FF0000FF"/>
      <name val="Arial"/>
    </font>
    <font>
      <b/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Font="1"/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0" fontId="1" numFmtId="0" xfId="0" applyFont="1"/>
    <xf borderId="0" fillId="3" fontId="1" numFmtId="0" xfId="0" applyAlignment="1" applyFont="1">
      <alignment readingOrder="0"/>
    </xf>
    <xf borderId="0" fillId="3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Font="1"/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9" fontId="3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 shrinkToFit="0" wrapText="1"/>
    </xf>
    <xf borderId="0" fillId="10" fontId="3" numFmtId="0" xfId="0" applyAlignment="1" applyFill="1" applyFont="1">
      <alignment readingOrder="0"/>
    </xf>
    <xf borderId="0" fillId="10" fontId="3" numFmtId="0" xfId="0" applyFont="1"/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shrinkToFit="0" vertical="bottom" wrapText="1"/>
    </xf>
    <xf borderId="0" fillId="5" fontId="11" numFmtId="0" xfId="0" applyAlignment="1" applyFont="1">
      <alignment vertical="bottom"/>
    </xf>
    <xf borderId="0" fillId="5" fontId="11" numFmtId="0" xfId="0" applyAlignment="1" applyFont="1">
      <alignment shrinkToFit="0" vertical="bottom" wrapText="1"/>
    </xf>
    <xf borderId="0" fillId="0" fontId="6" numFmtId="165" xfId="0" applyAlignment="1" applyFont="1" applyNumberFormat="1">
      <alignment horizontal="right" vertical="bottom"/>
    </xf>
    <xf borderId="0" fillId="3" fontId="12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6" fontId="11" numFmtId="0" xfId="0" applyAlignment="1" applyFont="1">
      <alignment vertical="bottom"/>
    </xf>
    <xf borderId="0" fillId="0" fontId="13" numFmtId="0" xfId="0" applyAlignment="1" applyFont="1">
      <alignment shrinkToFit="0" vertical="bottom" wrapText="1"/>
    </xf>
    <xf borderId="0" fillId="8" fontId="6" numFmtId="0" xfId="0" applyAlignment="1" applyFont="1">
      <alignment vertical="bottom"/>
    </xf>
    <xf borderId="0" fillId="6" fontId="11" numFmtId="0" xfId="0" applyAlignment="1" applyFont="1">
      <alignment shrinkToFit="0" vertical="bottom" wrapText="1"/>
    </xf>
    <xf borderId="0" fillId="11" fontId="3" numFmtId="0" xfId="0" applyAlignment="1" applyFill="1" applyFont="1">
      <alignment readingOrder="0" shrinkToFit="0" wrapText="1"/>
    </xf>
    <xf borderId="0" fillId="11" fontId="1" numFmtId="0" xfId="0" applyFont="1"/>
    <xf borderId="0" fillId="0" fontId="14" numFmtId="0" xfId="0" applyAlignment="1" applyFont="1">
      <alignment readingOrder="0" shrinkToFit="0" vertical="bottom" wrapText="1"/>
    </xf>
    <xf borderId="0" fillId="5" fontId="11" numFmtId="0" xfId="0" applyAlignment="1" applyFont="1">
      <alignment readingOrder="0" vertical="bottom"/>
    </xf>
    <xf borderId="0" fillId="0" fontId="15" numFmtId="0" xfId="0" applyAlignment="1" applyFont="1">
      <alignment readingOrder="0" shrinkToFit="0" wrapText="1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9</xdr:row>
      <xdr:rowOff>9525</xdr:rowOff>
    </xdr:from>
    <xdr:ext cx="2647950" cy="2105025"/>
    <xdr:pic>
      <xdr:nvPicPr>
        <xdr:cNvPr id="56810017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9</xdr:row>
      <xdr:rowOff>9525</xdr:rowOff>
    </xdr:from>
    <xdr:ext cx="2867025" cy="2105025"/>
    <xdr:pic>
      <xdr:nvPicPr>
        <xdr:cNvPr id="102212219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2714625</xdr:colOff>
      <xdr:row>9</xdr:row>
      <xdr:rowOff>9525</xdr:rowOff>
    </xdr:from>
    <xdr:ext cx="2971800" cy="2105025"/>
    <xdr:pic>
      <xdr:nvPicPr>
        <xdr:cNvPr id="76630070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uickteller.com/" TargetMode="External"/><Relationship Id="rId2" Type="http://schemas.openxmlformats.org/officeDocument/2006/relationships/hyperlink" Target="http://quicktelleer.com/" TargetMode="External"/><Relationship Id="rId3" Type="http://schemas.openxmlformats.org/officeDocument/2006/relationships/hyperlink" Target="http://www.quickteller.com/" TargetMode="External"/><Relationship Id="rId4" Type="http://schemas.openxmlformats.org/officeDocument/2006/relationships/hyperlink" Target="http://quickteller.com/" TargetMode="External"/><Relationship Id="rId5" Type="http://schemas.openxmlformats.org/officeDocument/2006/relationships/hyperlink" Target="http://quickteller.com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32.38"/>
    <col customWidth="1" min="4" max="4" width="37.38"/>
    <col customWidth="1" min="5" max="5" width="25.5"/>
    <col customWidth="1" min="6" max="6" width="16.38"/>
    <col customWidth="1" min="7" max="7" width="24.38"/>
  </cols>
  <sheetData>
    <row r="1">
      <c r="A1" s="1" t="s">
        <v>0</v>
      </c>
      <c r="B1" s="2"/>
      <c r="C1" s="3"/>
      <c r="E1" s="2"/>
      <c r="H1" s="3"/>
    </row>
    <row r="2">
      <c r="H2" s="3"/>
    </row>
    <row r="3">
      <c r="A3" s="4" t="s">
        <v>1</v>
      </c>
      <c r="B3" s="5" t="s">
        <v>2</v>
      </c>
      <c r="C3" s="4" t="s">
        <v>3</v>
      </c>
      <c r="D3" s="6" t="s">
        <v>4</v>
      </c>
      <c r="E3" s="4" t="s">
        <v>5</v>
      </c>
      <c r="F3" s="5" t="s">
        <v>2</v>
      </c>
      <c r="H3" s="3"/>
    </row>
    <row r="4">
      <c r="A4" s="7" t="s">
        <v>6</v>
      </c>
      <c r="B4" s="8">
        <f>COUNTA(H1:H100)</f>
        <v>32</v>
      </c>
      <c r="C4" s="5" t="s">
        <v>7</v>
      </c>
      <c r="D4" s="8">
        <f>COUNTA(H1:H100)</f>
        <v>32</v>
      </c>
      <c r="E4" s="5" t="s">
        <v>6</v>
      </c>
      <c r="F4" s="8">
        <f>COUNTA(J1:J100)</f>
        <v>32</v>
      </c>
      <c r="H4" s="9"/>
      <c r="J4" s="10"/>
    </row>
    <row r="5">
      <c r="A5" s="11" t="s">
        <v>8</v>
      </c>
      <c r="B5" s="8">
        <f>COUNTIF(H1:H100, "Passed")</f>
        <v>21</v>
      </c>
      <c r="C5" s="11" t="s">
        <v>8</v>
      </c>
      <c r="D5" s="9">
        <f>COUNTIF(I1:I100, "Passed")</f>
        <v>21</v>
      </c>
      <c r="E5" s="11" t="s">
        <v>8</v>
      </c>
      <c r="F5" s="8">
        <f>COUNTIF(J1:J100, "Passed")</f>
        <v>20</v>
      </c>
      <c r="H5" s="12"/>
      <c r="J5" s="12"/>
    </row>
    <row r="6">
      <c r="A6" s="13" t="s">
        <v>9</v>
      </c>
      <c r="B6" s="8">
        <f>COUNTIF(H1:H100, "Failed")</f>
        <v>9</v>
      </c>
      <c r="C6" s="13" t="s">
        <v>9</v>
      </c>
      <c r="D6" s="14">
        <f>COUNTIF(I1:I100, "Failed")</f>
        <v>9</v>
      </c>
      <c r="E6" s="15" t="s">
        <v>9</v>
      </c>
      <c r="F6" s="8">
        <f>COUNTIF(J1:J100, "Failed")</f>
        <v>8</v>
      </c>
      <c r="H6" s="12"/>
      <c r="J6" s="12"/>
      <c r="O6" s="9"/>
      <c r="P6" s="9"/>
      <c r="S6" s="9"/>
      <c r="T6" s="3"/>
      <c r="X6" s="9"/>
    </row>
    <row r="7">
      <c r="A7" s="16" t="s">
        <v>10</v>
      </c>
      <c r="B7" s="8">
        <f>COUNTIF(H1:H100, "Not executed")</f>
        <v>1</v>
      </c>
      <c r="C7" s="16" t="s">
        <v>10</v>
      </c>
      <c r="D7" s="14">
        <f>COUNTIF(I1:I100, "Not executed")</f>
        <v>1</v>
      </c>
      <c r="E7" s="17" t="s">
        <v>10</v>
      </c>
      <c r="F7" s="8">
        <f>COUNTIF(J1:J100, "Not executed")</f>
        <v>3</v>
      </c>
      <c r="H7" s="9"/>
      <c r="J7" s="9"/>
    </row>
    <row r="8">
      <c r="D8" s="9"/>
      <c r="H8" s="9"/>
    </row>
    <row r="9">
      <c r="H9" s="3"/>
    </row>
    <row r="10">
      <c r="H10" s="3"/>
    </row>
    <row r="11">
      <c r="D11" s="17" t="s">
        <v>11</v>
      </c>
      <c r="H11" s="3"/>
    </row>
    <row r="12">
      <c r="H12" s="3"/>
    </row>
    <row r="13">
      <c r="H13" s="3"/>
    </row>
    <row r="14">
      <c r="H14" s="3"/>
    </row>
    <row r="15">
      <c r="H15" s="3"/>
    </row>
    <row r="16">
      <c r="H16" s="3"/>
    </row>
    <row r="17">
      <c r="H17" s="3"/>
    </row>
    <row r="18">
      <c r="H18" s="3"/>
    </row>
    <row r="19">
      <c r="H19" s="3"/>
    </row>
    <row r="20">
      <c r="H20" s="3"/>
    </row>
    <row r="21">
      <c r="H21" s="18"/>
      <c r="I21" s="12"/>
      <c r="J21" s="18"/>
    </row>
    <row r="22">
      <c r="A22" s="19" t="s">
        <v>12</v>
      </c>
      <c r="B22" s="20" t="s">
        <v>13</v>
      </c>
      <c r="C22" s="19" t="s">
        <v>14</v>
      </c>
      <c r="D22" s="19" t="s">
        <v>15</v>
      </c>
      <c r="E22" s="19" t="s">
        <v>16</v>
      </c>
      <c r="F22" s="19" t="s">
        <v>17</v>
      </c>
      <c r="G22" s="19" t="s">
        <v>18</v>
      </c>
      <c r="H22" s="21" t="s">
        <v>19</v>
      </c>
      <c r="I22" s="21" t="s">
        <v>20</v>
      </c>
      <c r="J22" s="22" t="s">
        <v>21</v>
      </c>
      <c r="K22" s="19" t="s">
        <v>22</v>
      </c>
      <c r="L22" s="19" t="s">
        <v>23</v>
      </c>
      <c r="M22" s="19" t="s">
        <v>24</v>
      </c>
      <c r="N22" s="19" t="s">
        <v>25</v>
      </c>
      <c r="O22" s="19"/>
      <c r="P22" s="19"/>
      <c r="Q22" s="19"/>
      <c r="R22" s="19"/>
      <c r="S22" s="19"/>
      <c r="T22" s="19"/>
      <c r="U22" s="19"/>
    </row>
    <row r="23">
      <c r="A23" s="23" t="s">
        <v>26</v>
      </c>
      <c r="B23" s="17" t="s">
        <v>27</v>
      </c>
      <c r="C23" s="24" t="s">
        <v>28</v>
      </c>
      <c r="D23" s="25" t="s">
        <v>29</v>
      </c>
      <c r="E23" s="24" t="s">
        <v>30</v>
      </c>
      <c r="F23" s="24" t="s">
        <v>31</v>
      </c>
      <c r="G23" s="24" t="s">
        <v>32</v>
      </c>
      <c r="H23" s="17" t="s">
        <v>8</v>
      </c>
      <c r="I23" s="11" t="s">
        <v>8</v>
      </c>
      <c r="J23" s="11" t="s">
        <v>8</v>
      </c>
      <c r="L23" s="19" t="s">
        <v>33</v>
      </c>
      <c r="M23" s="20" t="s">
        <v>34</v>
      </c>
      <c r="N23" s="26">
        <v>45572.0</v>
      </c>
      <c r="U23" s="17" t="s">
        <v>35</v>
      </c>
    </row>
    <row r="24">
      <c r="B24" s="17" t="s">
        <v>36</v>
      </c>
      <c r="C24" s="24" t="s">
        <v>37</v>
      </c>
      <c r="D24" s="25" t="s">
        <v>38</v>
      </c>
      <c r="E24" s="24" t="s">
        <v>39</v>
      </c>
      <c r="F24" s="24" t="s">
        <v>40</v>
      </c>
      <c r="G24" s="24" t="s">
        <v>41</v>
      </c>
      <c r="H24" s="17" t="s">
        <v>8</v>
      </c>
      <c r="I24" s="17" t="s">
        <v>8</v>
      </c>
      <c r="J24" s="17" t="s">
        <v>8</v>
      </c>
      <c r="L24" s="19" t="s">
        <v>33</v>
      </c>
      <c r="M24" s="20" t="s">
        <v>34</v>
      </c>
      <c r="N24" s="26">
        <v>45572.0</v>
      </c>
    </row>
    <row r="25">
      <c r="B25" s="17" t="s">
        <v>42</v>
      </c>
      <c r="C25" s="24" t="s">
        <v>43</v>
      </c>
      <c r="D25" s="25" t="s">
        <v>44</v>
      </c>
      <c r="E25" s="24" t="s">
        <v>45</v>
      </c>
      <c r="F25" s="24" t="s">
        <v>46</v>
      </c>
      <c r="G25" s="24" t="s">
        <v>41</v>
      </c>
      <c r="H25" s="17" t="s">
        <v>8</v>
      </c>
      <c r="I25" s="17" t="s">
        <v>8</v>
      </c>
      <c r="J25" s="17" t="s">
        <v>8</v>
      </c>
      <c r="L25" s="19" t="s">
        <v>33</v>
      </c>
      <c r="M25" s="20" t="s">
        <v>34</v>
      </c>
      <c r="N25" s="26">
        <v>45572.0</v>
      </c>
    </row>
    <row r="26">
      <c r="B26" s="17" t="s">
        <v>47</v>
      </c>
      <c r="C26" s="24" t="s">
        <v>48</v>
      </c>
      <c r="D26" s="25" t="s">
        <v>49</v>
      </c>
      <c r="E26" s="24" t="s">
        <v>50</v>
      </c>
      <c r="F26" s="24" t="s">
        <v>51</v>
      </c>
      <c r="G26" s="24" t="s">
        <v>41</v>
      </c>
      <c r="H26" s="17" t="s">
        <v>8</v>
      </c>
      <c r="I26" s="17" t="s">
        <v>8</v>
      </c>
      <c r="J26" s="17" t="s">
        <v>8</v>
      </c>
      <c r="L26" s="19" t="s">
        <v>33</v>
      </c>
      <c r="M26" s="20" t="s">
        <v>34</v>
      </c>
      <c r="N26" s="26">
        <v>45572.0</v>
      </c>
    </row>
    <row r="27">
      <c r="B27" s="17" t="s">
        <v>52</v>
      </c>
      <c r="C27" s="24" t="s">
        <v>53</v>
      </c>
      <c r="D27" s="25" t="s">
        <v>54</v>
      </c>
      <c r="E27" s="24" t="s">
        <v>55</v>
      </c>
      <c r="F27" s="24" t="s">
        <v>56</v>
      </c>
      <c r="G27" s="24" t="s">
        <v>41</v>
      </c>
      <c r="H27" s="17" t="s">
        <v>8</v>
      </c>
      <c r="I27" s="17" t="s">
        <v>8</v>
      </c>
      <c r="J27" s="17" t="s">
        <v>8</v>
      </c>
      <c r="L27" s="19" t="s">
        <v>33</v>
      </c>
      <c r="M27" s="20" t="s">
        <v>34</v>
      </c>
      <c r="N27" s="26">
        <v>45572.0</v>
      </c>
    </row>
    <row r="28">
      <c r="B28" s="17" t="s">
        <v>57</v>
      </c>
      <c r="C28" s="24" t="s">
        <v>58</v>
      </c>
      <c r="D28" s="25" t="s">
        <v>59</v>
      </c>
      <c r="E28" s="24" t="s">
        <v>60</v>
      </c>
      <c r="F28" s="17" t="s">
        <v>61</v>
      </c>
      <c r="G28" s="24" t="s">
        <v>62</v>
      </c>
      <c r="H28" s="17" t="s">
        <v>9</v>
      </c>
      <c r="I28" s="17" t="s">
        <v>9</v>
      </c>
      <c r="J28" s="17" t="s">
        <v>10</v>
      </c>
      <c r="L28" s="19" t="s">
        <v>33</v>
      </c>
      <c r="M28" s="20" t="s">
        <v>34</v>
      </c>
      <c r="N28" s="26">
        <v>45572.0</v>
      </c>
    </row>
    <row r="29">
      <c r="B29" s="17" t="s">
        <v>63</v>
      </c>
      <c r="C29" s="24" t="s">
        <v>64</v>
      </c>
      <c r="D29" s="25" t="s">
        <v>65</v>
      </c>
      <c r="E29" s="24" t="s">
        <v>66</v>
      </c>
      <c r="F29" s="24" t="s">
        <v>67</v>
      </c>
      <c r="G29" s="24" t="s">
        <v>68</v>
      </c>
      <c r="H29" s="11" t="s">
        <v>8</v>
      </c>
      <c r="I29" s="11" t="s">
        <v>8</v>
      </c>
      <c r="J29" s="17" t="s">
        <v>8</v>
      </c>
      <c r="L29" s="19" t="s">
        <v>33</v>
      </c>
      <c r="M29" s="20" t="s">
        <v>34</v>
      </c>
      <c r="N29" s="26">
        <v>45572.0</v>
      </c>
    </row>
    <row r="30">
      <c r="B30" s="17" t="s">
        <v>69</v>
      </c>
      <c r="C30" s="24" t="s">
        <v>70</v>
      </c>
      <c r="D30" s="25" t="s">
        <v>71</v>
      </c>
      <c r="E30" s="24" t="s">
        <v>72</v>
      </c>
      <c r="F30" s="24" t="s">
        <v>73</v>
      </c>
      <c r="G30" s="24" t="s">
        <v>41</v>
      </c>
      <c r="H30" s="17" t="s">
        <v>8</v>
      </c>
      <c r="I30" s="17" t="s">
        <v>8</v>
      </c>
      <c r="J30" s="17" t="s">
        <v>8</v>
      </c>
      <c r="L30" s="19" t="s">
        <v>33</v>
      </c>
      <c r="M30" s="20" t="s">
        <v>34</v>
      </c>
      <c r="N30" s="26">
        <v>45572.0</v>
      </c>
    </row>
    <row r="31">
      <c r="B31" s="17" t="s">
        <v>74</v>
      </c>
      <c r="C31" s="24" t="s">
        <v>75</v>
      </c>
      <c r="D31" s="25" t="s">
        <v>76</v>
      </c>
      <c r="E31" s="27" t="s">
        <v>77</v>
      </c>
      <c r="F31" s="24" t="s">
        <v>73</v>
      </c>
      <c r="G31" s="24" t="s">
        <v>41</v>
      </c>
      <c r="H31" s="17" t="s">
        <v>8</v>
      </c>
      <c r="I31" s="17" t="s">
        <v>8</v>
      </c>
      <c r="J31" s="17" t="s">
        <v>8</v>
      </c>
      <c r="L31" s="19"/>
      <c r="M31" s="20"/>
      <c r="N31" s="26">
        <v>45572.0</v>
      </c>
    </row>
    <row r="32">
      <c r="B32" s="17" t="s">
        <v>78</v>
      </c>
      <c r="C32" s="24" t="s">
        <v>79</v>
      </c>
      <c r="D32" s="25" t="s">
        <v>80</v>
      </c>
      <c r="E32" s="24" t="s">
        <v>81</v>
      </c>
      <c r="F32" s="24" t="s">
        <v>82</v>
      </c>
      <c r="G32" s="24" t="s">
        <v>41</v>
      </c>
      <c r="H32" s="17" t="s">
        <v>8</v>
      </c>
      <c r="I32" s="17" t="s">
        <v>8</v>
      </c>
      <c r="J32" s="17" t="s">
        <v>8</v>
      </c>
      <c r="L32" s="19" t="s">
        <v>33</v>
      </c>
      <c r="M32" s="20" t="s">
        <v>34</v>
      </c>
      <c r="N32" s="26">
        <v>45572.0</v>
      </c>
    </row>
    <row r="33">
      <c r="B33" s="17" t="s">
        <v>83</v>
      </c>
      <c r="C33" s="24" t="s">
        <v>84</v>
      </c>
      <c r="D33" s="25" t="s">
        <v>85</v>
      </c>
      <c r="E33" s="24" t="s">
        <v>86</v>
      </c>
      <c r="F33" s="24" t="s">
        <v>87</v>
      </c>
      <c r="G33" s="24" t="s">
        <v>88</v>
      </c>
      <c r="H33" s="17" t="s">
        <v>9</v>
      </c>
      <c r="I33" s="17" t="s">
        <v>9</v>
      </c>
      <c r="J33" s="17" t="s">
        <v>9</v>
      </c>
      <c r="L33" s="19" t="s">
        <v>33</v>
      </c>
      <c r="M33" s="20" t="s">
        <v>34</v>
      </c>
      <c r="N33" s="26">
        <v>45572.0</v>
      </c>
    </row>
    <row r="34">
      <c r="A34" s="28" t="s">
        <v>89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</row>
    <row r="35">
      <c r="B35" s="30" t="s">
        <v>90</v>
      </c>
      <c r="C35" s="20" t="s">
        <v>91</v>
      </c>
      <c r="D35" s="31" t="s">
        <v>92</v>
      </c>
      <c r="E35" s="20" t="s">
        <v>30</v>
      </c>
      <c r="F35" s="20" t="s">
        <v>93</v>
      </c>
      <c r="G35" s="20" t="s">
        <v>94</v>
      </c>
      <c r="H35" s="32" t="s">
        <v>8</v>
      </c>
      <c r="I35" s="32" t="s">
        <v>8</v>
      </c>
      <c r="J35" s="33" t="s">
        <v>8</v>
      </c>
      <c r="K35" s="19"/>
      <c r="L35" s="19" t="s">
        <v>33</v>
      </c>
      <c r="M35" s="19" t="s">
        <v>34</v>
      </c>
      <c r="N35" s="34">
        <v>45569.0</v>
      </c>
      <c r="O35" s="19"/>
      <c r="P35" s="19"/>
    </row>
    <row r="36">
      <c r="B36" s="17" t="s">
        <v>95</v>
      </c>
      <c r="C36" s="35" t="s">
        <v>96</v>
      </c>
      <c r="D36" s="36" t="s">
        <v>97</v>
      </c>
      <c r="E36" s="37" t="s">
        <v>98</v>
      </c>
      <c r="F36" s="20" t="s">
        <v>99</v>
      </c>
      <c r="G36" s="20" t="s">
        <v>100</v>
      </c>
      <c r="H36" s="32" t="s">
        <v>8</v>
      </c>
      <c r="I36" s="32" t="s">
        <v>8</v>
      </c>
      <c r="J36" s="32" t="s">
        <v>8</v>
      </c>
      <c r="K36" s="19"/>
      <c r="L36" s="19" t="s">
        <v>33</v>
      </c>
      <c r="M36" s="19" t="s">
        <v>34</v>
      </c>
      <c r="N36" s="34">
        <v>45569.0</v>
      </c>
      <c r="O36" s="19"/>
      <c r="P36" s="19"/>
    </row>
    <row r="37">
      <c r="B37" s="30" t="s">
        <v>101</v>
      </c>
      <c r="C37" s="35" t="s">
        <v>102</v>
      </c>
      <c r="D37" s="31" t="s">
        <v>103</v>
      </c>
      <c r="E37" s="20" t="s">
        <v>104</v>
      </c>
      <c r="F37" s="20" t="s">
        <v>105</v>
      </c>
      <c r="G37" s="20" t="s">
        <v>100</v>
      </c>
      <c r="H37" s="32" t="s">
        <v>8</v>
      </c>
      <c r="I37" s="32" t="s">
        <v>8</v>
      </c>
      <c r="J37" s="32" t="s">
        <v>8</v>
      </c>
      <c r="K37" s="19"/>
      <c r="L37" s="19" t="s">
        <v>33</v>
      </c>
      <c r="M37" s="19" t="s">
        <v>34</v>
      </c>
      <c r="N37" s="34">
        <v>45569.0</v>
      </c>
      <c r="O37" s="19"/>
      <c r="P37" s="19"/>
    </row>
    <row r="38">
      <c r="B38" s="30" t="s">
        <v>106</v>
      </c>
      <c r="C38" s="35" t="s">
        <v>107</v>
      </c>
      <c r="D38" s="31" t="s">
        <v>108</v>
      </c>
      <c r="E38" s="20" t="s">
        <v>109</v>
      </c>
      <c r="F38" s="20" t="s">
        <v>110</v>
      </c>
      <c r="G38" s="20" t="s">
        <v>100</v>
      </c>
      <c r="H38" s="32" t="s">
        <v>8</v>
      </c>
      <c r="I38" s="32" t="s">
        <v>8</v>
      </c>
      <c r="J38" s="32" t="s">
        <v>8</v>
      </c>
      <c r="K38" s="19"/>
      <c r="L38" s="19" t="s">
        <v>33</v>
      </c>
      <c r="M38" s="19" t="s">
        <v>34</v>
      </c>
      <c r="N38" s="34">
        <v>45569.0</v>
      </c>
      <c r="O38" s="19"/>
      <c r="P38" s="19"/>
    </row>
    <row r="39">
      <c r="B39" s="30" t="s">
        <v>111</v>
      </c>
      <c r="C39" s="35" t="s">
        <v>112</v>
      </c>
      <c r="D39" s="31" t="s">
        <v>113</v>
      </c>
      <c r="E39" s="20" t="s">
        <v>114</v>
      </c>
      <c r="F39" s="20" t="s">
        <v>115</v>
      </c>
      <c r="G39" s="20" t="s">
        <v>100</v>
      </c>
      <c r="H39" s="32" t="s">
        <v>8</v>
      </c>
      <c r="I39" s="32" t="s">
        <v>8</v>
      </c>
      <c r="J39" s="32" t="s">
        <v>8</v>
      </c>
      <c r="K39" s="19"/>
      <c r="L39" s="19" t="s">
        <v>33</v>
      </c>
      <c r="M39" s="19" t="s">
        <v>34</v>
      </c>
      <c r="N39" s="34">
        <v>45569.0</v>
      </c>
      <c r="O39" s="19"/>
      <c r="P39" s="19"/>
    </row>
    <row r="40">
      <c r="B40" s="30" t="s">
        <v>116</v>
      </c>
      <c r="C40" s="20" t="s">
        <v>117</v>
      </c>
      <c r="D40" s="31" t="s">
        <v>118</v>
      </c>
      <c r="E40" s="20" t="s">
        <v>119</v>
      </c>
      <c r="F40" s="20" t="s">
        <v>120</v>
      </c>
      <c r="G40" s="20" t="s">
        <v>100</v>
      </c>
      <c r="H40" s="38" t="s">
        <v>9</v>
      </c>
      <c r="I40" s="38" t="s">
        <v>9</v>
      </c>
      <c r="J40" s="38" t="s">
        <v>9</v>
      </c>
      <c r="K40" s="19"/>
      <c r="L40" s="19" t="s">
        <v>33</v>
      </c>
      <c r="M40" s="19" t="s">
        <v>34</v>
      </c>
      <c r="N40" s="34">
        <v>45569.0</v>
      </c>
      <c r="O40" s="19"/>
      <c r="P40" s="19"/>
    </row>
    <row r="41">
      <c r="B41" s="30" t="s">
        <v>121</v>
      </c>
      <c r="C41" s="20" t="s">
        <v>122</v>
      </c>
      <c r="D41" s="31" t="s">
        <v>123</v>
      </c>
      <c r="E41" s="20" t="s">
        <v>124</v>
      </c>
      <c r="F41" s="20" t="s">
        <v>125</v>
      </c>
      <c r="G41" s="20" t="s">
        <v>94</v>
      </c>
      <c r="H41" s="32" t="s">
        <v>8</v>
      </c>
      <c r="I41" s="32" t="s">
        <v>8</v>
      </c>
      <c r="J41" s="32" t="s">
        <v>8</v>
      </c>
      <c r="K41" s="19"/>
      <c r="L41" s="19" t="s">
        <v>33</v>
      </c>
      <c r="M41" s="19" t="s">
        <v>34</v>
      </c>
      <c r="N41" s="34">
        <v>45569.0</v>
      </c>
      <c r="O41" s="19"/>
      <c r="P41" s="19"/>
      <c r="Q41" s="19"/>
    </row>
    <row r="42">
      <c r="B42" s="30" t="s">
        <v>126</v>
      </c>
      <c r="C42" s="20" t="s">
        <v>127</v>
      </c>
      <c r="D42" s="39" t="s">
        <v>128</v>
      </c>
      <c r="E42" s="20" t="s">
        <v>129</v>
      </c>
      <c r="F42" s="20" t="s">
        <v>130</v>
      </c>
      <c r="G42" s="20" t="s">
        <v>131</v>
      </c>
      <c r="H42" s="38" t="s">
        <v>9</v>
      </c>
      <c r="I42" s="38" t="s">
        <v>9</v>
      </c>
      <c r="J42" s="38" t="s">
        <v>9</v>
      </c>
      <c r="K42" s="19"/>
      <c r="L42" s="19" t="s">
        <v>33</v>
      </c>
      <c r="M42" s="19" t="s">
        <v>34</v>
      </c>
      <c r="N42" s="34">
        <v>45569.0</v>
      </c>
      <c r="O42" s="19"/>
      <c r="P42" s="19"/>
    </row>
    <row r="43">
      <c r="B43" s="30" t="s">
        <v>132</v>
      </c>
      <c r="C43" s="35" t="s">
        <v>133</v>
      </c>
      <c r="D43" s="31" t="s">
        <v>134</v>
      </c>
      <c r="E43" s="20" t="s">
        <v>129</v>
      </c>
      <c r="F43" s="20" t="s">
        <v>135</v>
      </c>
      <c r="G43" s="19"/>
      <c r="H43" s="40" t="s">
        <v>10</v>
      </c>
      <c r="I43" s="40" t="s">
        <v>10</v>
      </c>
      <c r="J43" s="40" t="s">
        <v>10</v>
      </c>
      <c r="K43" s="19"/>
      <c r="L43" s="19" t="s">
        <v>33</v>
      </c>
      <c r="M43" s="19" t="s">
        <v>34</v>
      </c>
      <c r="N43" s="34">
        <v>45569.0</v>
      </c>
      <c r="O43" s="19"/>
      <c r="P43" s="19"/>
    </row>
    <row r="44">
      <c r="B44" s="30" t="s">
        <v>136</v>
      </c>
      <c r="C44" s="20" t="s">
        <v>137</v>
      </c>
      <c r="D44" s="31" t="s">
        <v>138</v>
      </c>
      <c r="E44" s="20" t="s">
        <v>129</v>
      </c>
      <c r="F44" s="20" t="s">
        <v>139</v>
      </c>
      <c r="G44" s="20" t="s">
        <v>140</v>
      </c>
      <c r="H44" s="41" t="s">
        <v>9</v>
      </c>
      <c r="I44" s="41" t="s">
        <v>9</v>
      </c>
      <c r="J44" s="41" t="s">
        <v>9</v>
      </c>
      <c r="K44" s="19"/>
      <c r="L44" s="19" t="s">
        <v>33</v>
      </c>
      <c r="M44" s="19" t="s">
        <v>34</v>
      </c>
      <c r="N44" s="34">
        <v>45569.0</v>
      </c>
      <c r="O44" s="19"/>
      <c r="P44" s="19"/>
    </row>
    <row r="45">
      <c r="A45" s="42" t="s">
        <v>141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3"/>
      <c r="P45" s="3"/>
      <c r="Q45" s="3"/>
    </row>
    <row r="46">
      <c r="B46" s="30" t="s">
        <v>142</v>
      </c>
      <c r="C46" s="20" t="s">
        <v>143</v>
      </c>
      <c r="D46" s="20" t="s">
        <v>144</v>
      </c>
      <c r="E46" s="20" t="s">
        <v>145</v>
      </c>
      <c r="F46" s="20" t="s">
        <v>146</v>
      </c>
      <c r="G46" s="20" t="s">
        <v>147</v>
      </c>
      <c r="H46" s="32" t="s">
        <v>8</v>
      </c>
      <c r="I46" s="32" t="s">
        <v>8</v>
      </c>
      <c r="J46" s="32" t="s">
        <v>8</v>
      </c>
      <c r="K46" s="19"/>
      <c r="L46" s="19" t="s">
        <v>33</v>
      </c>
      <c r="M46" s="19" t="s">
        <v>34</v>
      </c>
      <c r="N46" s="34">
        <v>45569.0</v>
      </c>
    </row>
    <row r="47">
      <c r="B47" s="30" t="s">
        <v>148</v>
      </c>
      <c r="C47" s="35" t="s">
        <v>149</v>
      </c>
      <c r="D47" s="20" t="s">
        <v>150</v>
      </c>
      <c r="E47" s="20" t="s">
        <v>151</v>
      </c>
      <c r="F47" s="20" t="s">
        <v>152</v>
      </c>
      <c r="G47" s="20" t="s">
        <v>153</v>
      </c>
      <c r="H47" s="32" t="s">
        <v>8</v>
      </c>
      <c r="I47" s="32" t="s">
        <v>8</v>
      </c>
      <c r="J47" s="32" t="s">
        <v>8</v>
      </c>
      <c r="K47" s="19"/>
      <c r="L47" s="19" t="s">
        <v>33</v>
      </c>
      <c r="M47" s="19" t="s">
        <v>34</v>
      </c>
      <c r="N47" s="34">
        <v>45569.0</v>
      </c>
    </row>
    <row r="48">
      <c r="B48" s="30" t="s">
        <v>154</v>
      </c>
      <c r="C48" s="20" t="s">
        <v>155</v>
      </c>
      <c r="D48" s="20" t="s">
        <v>156</v>
      </c>
      <c r="E48" s="20" t="s">
        <v>157</v>
      </c>
      <c r="F48" s="20" t="s">
        <v>158</v>
      </c>
      <c r="G48" s="20" t="s">
        <v>153</v>
      </c>
      <c r="H48" s="38" t="s">
        <v>9</v>
      </c>
      <c r="I48" s="38" t="s">
        <v>9</v>
      </c>
      <c r="J48" s="38" t="s">
        <v>9</v>
      </c>
      <c r="K48" s="19"/>
      <c r="L48" s="19" t="s">
        <v>33</v>
      </c>
      <c r="M48" s="19" t="s">
        <v>34</v>
      </c>
      <c r="N48" s="34">
        <v>45569.0</v>
      </c>
      <c r="O48" s="19"/>
    </row>
    <row r="49">
      <c r="B49" s="30" t="s">
        <v>159</v>
      </c>
      <c r="C49" s="20" t="s">
        <v>160</v>
      </c>
      <c r="D49" s="20" t="s">
        <v>161</v>
      </c>
      <c r="E49" s="20" t="s">
        <v>162</v>
      </c>
      <c r="F49" s="20" t="s">
        <v>163</v>
      </c>
      <c r="G49" s="20" t="s">
        <v>164</v>
      </c>
      <c r="H49" s="32" t="s">
        <v>8</v>
      </c>
      <c r="I49" s="32" t="s">
        <v>8</v>
      </c>
      <c r="J49" s="40" t="s">
        <v>10</v>
      </c>
      <c r="K49" s="19"/>
      <c r="L49" s="19" t="s">
        <v>33</v>
      </c>
      <c r="M49" s="19" t="s">
        <v>34</v>
      </c>
      <c r="N49" s="34">
        <v>45569.0</v>
      </c>
      <c r="O49" s="19"/>
    </row>
    <row r="50">
      <c r="B50" s="30" t="s">
        <v>165</v>
      </c>
      <c r="C50" s="35" t="s">
        <v>166</v>
      </c>
      <c r="D50" s="20" t="s">
        <v>167</v>
      </c>
      <c r="E50" s="20" t="s">
        <v>168</v>
      </c>
      <c r="F50" s="20" t="s">
        <v>169</v>
      </c>
      <c r="G50" s="20" t="s">
        <v>153</v>
      </c>
      <c r="H50" s="32" t="s">
        <v>8</v>
      </c>
      <c r="I50" s="32" t="s">
        <v>8</v>
      </c>
      <c r="J50" s="32" t="s">
        <v>8</v>
      </c>
      <c r="K50" s="19"/>
      <c r="L50" s="19" t="s">
        <v>33</v>
      </c>
      <c r="M50" s="19" t="s">
        <v>34</v>
      </c>
      <c r="N50" s="34">
        <v>45569.0</v>
      </c>
      <c r="O50" s="19"/>
      <c r="P50" s="19"/>
    </row>
    <row r="51">
      <c r="B51" s="30" t="s">
        <v>170</v>
      </c>
      <c r="C51" s="20" t="s">
        <v>171</v>
      </c>
      <c r="D51" s="20" t="s">
        <v>172</v>
      </c>
      <c r="E51" s="20" t="s">
        <v>173</v>
      </c>
      <c r="F51" s="20" t="s">
        <v>174</v>
      </c>
      <c r="G51" s="20" t="s">
        <v>175</v>
      </c>
      <c r="H51" s="32" t="s">
        <v>8</v>
      </c>
      <c r="I51" s="32" t="s">
        <v>8</v>
      </c>
      <c r="J51" s="32" t="s">
        <v>8</v>
      </c>
      <c r="K51" s="19"/>
      <c r="L51" s="19" t="s">
        <v>33</v>
      </c>
      <c r="M51" s="19" t="s">
        <v>34</v>
      </c>
      <c r="N51" s="34">
        <v>45569.0</v>
      </c>
    </row>
    <row r="52">
      <c r="B52" s="30" t="s">
        <v>176</v>
      </c>
      <c r="C52" s="20" t="s">
        <v>177</v>
      </c>
      <c r="D52" s="20" t="s">
        <v>178</v>
      </c>
      <c r="E52" s="20" t="s">
        <v>179</v>
      </c>
      <c r="F52" s="20" t="s">
        <v>180</v>
      </c>
      <c r="G52" s="20" t="s">
        <v>153</v>
      </c>
      <c r="H52" s="38" t="s">
        <v>9</v>
      </c>
      <c r="I52" s="38" t="s">
        <v>9</v>
      </c>
      <c r="J52" s="38" t="s">
        <v>9</v>
      </c>
      <c r="K52" s="19"/>
      <c r="L52" s="19" t="s">
        <v>33</v>
      </c>
      <c r="M52" s="19" t="s">
        <v>34</v>
      </c>
      <c r="N52" s="34">
        <v>45569.0</v>
      </c>
    </row>
    <row r="53">
      <c r="B53" s="30" t="s">
        <v>181</v>
      </c>
      <c r="C53" s="20" t="s">
        <v>182</v>
      </c>
      <c r="D53" s="20" t="s">
        <v>183</v>
      </c>
      <c r="E53" s="20" t="s">
        <v>184</v>
      </c>
      <c r="F53" s="20" t="s">
        <v>185</v>
      </c>
      <c r="G53" s="20" t="s">
        <v>153</v>
      </c>
      <c r="H53" s="38" t="s">
        <v>9</v>
      </c>
      <c r="I53" s="38" t="s">
        <v>9</v>
      </c>
      <c r="J53" s="38" t="s">
        <v>9</v>
      </c>
      <c r="K53" s="19"/>
      <c r="L53" s="19" t="s">
        <v>33</v>
      </c>
      <c r="M53" s="19" t="s">
        <v>34</v>
      </c>
      <c r="N53" s="34">
        <v>45569.0</v>
      </c>
      <c r="O53" s="19"/>
    </row>
    <row r="54">
      <c r="B54" s="30" t="s">
        <v>186</v>
      </c>
      <c r="C54" s="24" t="s">
        <v>187</v>
      </c>
      <c r="D54" s="37" t="s">
        <v>188</v>
      </c>
      <c r="E54" s="44" t="s">
        <v>189</v>
      </c>
      <c r="F54" s="37" t="s">
        <v>190</v>
      </c>
      <c r="G54" s="37" t="s">
        <v>191</v>
      </c>
      <c r="H54" s="45" t="s">
        <v>9</v>
      </c>
      <c r="I54" s="45" t="s">
        <v>9</v>
      </c>
      <c r="J54" s="45" t="s">
        <v>9</v>
      </c>
      <c r="K54" s="19"/>
      <c r="L54" s="19" t="s">
        <v>33</v>
      </c>
      <c r="M54" s="19" t="s">
        <v>34</v>
      </c>
      <c r="N54" s="34">
        <v>45569.0</v>
      </c>
      <c r="O54" s="19"/>
    </row>
    <row r="55">
      <c r="B55" s="30" t="s">
        <v>192</v>
      </c>
      <c r="C55" s="20" t="s">
        <v>193</v>
      </c>
      <c r="D55" s="20" t="s">
        <v>194</v>
      </c>
      <c r="E55" s="20" t="s">
        <v>195</v>
      </c>
      <c r="F55" s="20" t="s">
        <v>196</v>
      </c>
      <c r="G55" s="20" t="s">
        <v>175</v>
      </c>
      <c r="H55" s="32" t="s">
        <v>8</v>
      </c>
      <c r="I55" s="32" t="s">
        <v>8</v>
      </c>
      <c r="J55" s="32" t="s">
        <v>8</v>
      </c>
      <c r="K55" s="19"/>
      <c r="L55" s="19" t="s">
        <v>33</v>
      </c>
      <c r="M55" s="19" t="s">
        <v>34</v>
      </c>
      <c r="N55" s="34">
        <v>45569.0</v>
      </c>
      <c r="O55" s="19"/>
    </row>
    <row r="83">
      <c r="D83" s="46" t="s">
        <v>197</v>
      </c>
    </row>
    <row r="226">
      <c r="D226" s="27" t="s">
        <v>198</v>
      </c>
    </row>
  </sheetData>
  <conditionalFormatting sqref="H23:J33">
    <cfRule type="containsText" dxfId="0" priority="1" operator="containsText" text="Passed">
      <formula>NOT(ISERROR(SEARCH(("Passed"),(H23))))</formula>
    </cfRule>
  </conditionalFormatting>
  <conditionalFormatting sqref="H23:J33">
    <cfRule type="containsText" dxfId="1" priority="2" operator="containsText" text="Failed">
      <formula>NOT(ISERROR(SEARCH(("Failed"),(H23))))</formula>
    </cfRule>
  </conditionalFormatting>
  <conditionalFormatting sqref="C22:C34">
    <cfRule type="containsText" dxfId="2" priority="3" operator="containsText" text="cannot">
      <formula>NOT(ISERROR(SEARCH(("cannot"),(C22))))</formula>
    </cfRule>
  </conditionalFormatting>
  <conditionalFormatting sqref="J1:J8 E5:E8 J13:J21 J23:J1000">
    <cfRule type="containsText" dxfId="3" priority="4" operator="containsText" text="Not executed">
      <formula>NOT(ISERROR(SEARCH(("Not executed"),(J1))))</formula>
    </cfRule>
  </conditionalFormatting>
  <conditionalFormatting sqref="E9">
    <cfRule type="notContainsBlanks" dxfId="4" priority="5">
      <formula>LEN(TRIM(E9))&gt;0</formula>
    </cfRule>
  </conditionalFormatting>
  <conditionalFormatting sqref="H1:H21 H23:H99">
    <cfRule type="containsText" dxfId="5" priority="6" operator="containsText" text="Not executed">
      <formula>NOT(ISERROR(SEARCH(("Not executed"),(H1))))</formula>
    </cfRule>
  </conditionalFormatting>
  <conditionalFormatting sqref="H1:H21 H23:H100">
    <cfRule type="containsText" dxfId="6" priority="7" operator="containsText" text="Failed">
      <formula>NOT(ISERROR(SEARCH(("Failed"),(H1))))</formula>
    </cfRule>
  </conditionalFormatting>
  <conditionalFormatting sqref="I1:I21 I23:I100">
    <cfRule type="containsText" dxfId="6" priority="8" operator="containsText" text="Failed">
      <formula>NOT(ISERROR(SEARCH(("Failed"),(I1))))</formula>
    </cfRule>
  </conditionalFormatting>
  <conditionalFormatting sqref="J1:J21 J23:J100">
    <cfRule type="containsText" dxfId="6" priority="9" operator="containsText" text="Failed">
      <formula>NOT(ISERROR(SEARCH(("Failed"),(J1))))</formula>
    </cfRule>
  </conditionalFormatting>
  <hyperlinks>
    <hyperlink r:id="rId1" ref="E31"/>
    <hyperlink r:id="rId2" ref="D42"/>
    <hyperlink r:id="rId3" ref="E54"/>
    <hyperlink r:id="rId4" ref="D83"/>
    <hyperlink r:id="rId5" ref="D226"/>
  </hyperlinks>
  <drawing r:id="rId6"/>
</worksheet>
</file>