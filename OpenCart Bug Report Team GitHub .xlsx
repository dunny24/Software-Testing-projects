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<sst xmlns="http://schemas.openxmlformats.org/spreadsheetml/2006/main" count="108" uniqueCount="89">
  <si>
    <t xml:space="preserve">                      SEVERITY MEASUREMENT</t>
  </si>
  <si>
    <t xml:space="preserve">                      PRIORITY MEASUREMENT</t>
  </si>
  <si>
    <t xml:space="preserve">MINOR  </t>
  </si>
  <si>
    <t>LOW</t>
  </si>
  <si>
    <t>MAJOR</t>
  </si>
  <si>
    <t>MEDUIM</t>
  </si>
  <si>
    <t>CRITICAL</t>
  </si>
  <si>
    <t>HIGH</t>
  </si>
  <si>
    <t>TOTAL</t>
  </si>
  <si>
    <t>S/N</t>
  </si>
  <si>
    <t>BUG SUMMARY</t>
  </si>
  <si>
    <t>BUG DESCRIPTION</t>
  </si>
  <si>
    <t>STEPS TO REPRODUCE</t>
  </si>
  <si>
    <t>TEST DATA</t>
  </si>
  <si>
    <t>EXPECTED RESULT</t>
  </si>
  <si>
    <t>ACTUAL RESULT</t>
  </si>
  <si>
    <t>SEVERITY</t>
  </si>
  <si>
    <t>PRIORITY</t>
  </si>
  <si>
    <t>ENVIROMENT</t>
  </si>
  <si>
    <t>VISUAL PROOF</t>
  </si>
  <si>
    <t>TEST  PLATFORM</t>
  </si>
  <si>
    <t>IDENTIFIED BY</t>
  </si>
  <si>
    <t>DATE IDENTIFIED</t>
  </si>
  <si>
    <t>TC_REGISTRATION_001</t>
  </si>
  <si>
    <t>User is able to  register using  Username, Firstname and Lastname with special characters</t>
  </si>
  <si>
    <t>User is registered using special characters in username, first name and last name</t>
  </si>
  <si>
    <r>
      <rPr>
        <rFont val="Times New Roman"/>
      </rPr>
      <t xml:space="preserve">-Open Chrome browser
-Visit </t>
    </r>
    <r>
      <rPr>
        <rFont val="Times New Roman"/>
        <color rgb="FF1155CC"/>
        <u/>
      </rPr>
      <t>www.OpenCart.com</t>
    </r>
    <r>
      <rPr>
        <rFont val="Times New Roman"/>
      </rPr>
      <t xml:space="preserve"> 
-Click Register for Opencart Account
Enter 
* Username: @#!&amp;%^$*(+ 
* Firstname: #!%^$ 
* Lastname: %$^@ 
* Email: specialchar@mailinator.com 
* Password: Special_1
* Country: Nigeria
Click on Register
</t>
    </r>
  </si>
  <si>
    <r>
      <rPr>
        <rFont val="Times New Roman"/>
        <color rgb="FF000000"/>
      </rPr>
      <t xml:space="preserve">site url
</t>
    </r>
    <r>
      <rPr>
        <rFont val="Times New Roman"/>
        <color rgb="FF1155CC"/>
        <u/>
      </rPr>
      <t>www.OpenCart.com</t>
    </r>
    <r>
      <rPr>
        <rFont val="Times New Roman"/>
        <color rgb="FF000000"/>
      </rPr>
      <t xml:space="preserve"> 
Username: @#!&amp;%^$*(+ * Firstname: #!%^$ * Lastname: %$^@ * Email: specialchar@mailinator.com * Password: Special_1</t>
    </r>
  </si>
  <si>
    <t>User should not be allowed to Register using special character for Username, Firstname and Lastname.</t>
  </si>
  <si>
    <t>User was Registered. "Welcome to Opencart, your account has been created"</t>
  </si>
  <si>
    <t>Major</t>
  </si>
  <si>
    <t>High</t>
  </si>
  <si>
    <t>Chrome Browser
Version 129.0.6668.101 (Official Build) (64-bit)</t>
  </si>
  <si>
    <t>https://monosnap.com/direct/6mflmV72NAwhWQJXRsJE8VSsviMviQ</t>
  </si>
  <si>
    <t xml:space="preserve">https://www.opencart.com/
</t>
  </si>
  <si>
    <t>Awe Modupe</t>
  </si>
  <si>
    <t>16TH OCT. 2024</t>
  </si>
  <si>
    <t>TC_REGISTRATION_002</t>
  </si>
  <si>
    <t>User is able to use numbers instead of text as First name and Last name during registration</t>
  </si>
  <si>
    <t>User uses number as First name and Last name during registration</t>
  </si>
  <si>
    <t>- Visit www.OpenCart.com  - Click Register button 
- On the Username field, input username 
- on the first name field, input  numbers as first name 
- On the last name field, input number 
- On the email address field, input a valid email address 
- country of your choice 
- On the password field, input a strong password  
Click on register button</t>
  </si>
  <si>
    <r>
      <rPr>
        <rFont val="Times New Roman"/>
        <color rgb="FF000000"/>
      </rPr>
      <t xml:space="preserve">site url
</t>
    </r>
    <r>
      <rPr>
        <rFont val="Times New Roman"/>
        <color rgb="FF1155CC"/>
        <u/>
      </rPr>
      <t>www.OpenCart.com</t>
    </r>
    <r>
      <rPr>
        <rFont val="Times New Roman"/>
        <color rgb="FF000000"/>
      </rPr>
      <t xml:space="preserve"> 
Username: Bibire* Firstname: 123456789 * Lastname: 2468923 
* Email: numbername@mailinator.com 
* Password: Specialnum_1 
*Country: New Caledonia</t>
    </r>
  </si>
  <si>
    <t>User should not be able to register with numbers as First name and Lastname</t>
  </si>
  <si>
    <t>User was resgistered successfully and a verification link was sent to the user email address</t>
  </si>
  <si>
    <t>Medium</t>
  </si>
  <si>
    <t>Firefox Browser
-Version 131.0.3</t>
  </si>
  <si>
    <t>Monosnap File</t>
  </si>
  <si>
    <t>Adeyemi Busayo</t>
  </si>
  <si>
    <t>TC_CART FLOW_003</t>
  </si>
  <si>
    <t>User unable to add Canon Eos 5D camera to Cart</t>
  </si>
  <si>
    <t>Canon Eos 5D camera "Add to Cart" was not successful</t>
  </si>
  <si>
    <r>
      <rPr>
        <rFont val="Times New Roman"/>
      </rPr>
      <t xml:space="preserve">-Open the Chrome browser
-Visit </t>
    </r>
    <r>
      <rPr>
        <rFont val="Times New Roman"/>
        <color rgb="FF1155CC"/>
        <u/>
      </rPr>
      <t>www.OpenCart.com</t>
    </r>
    <r>
      <rPr>
        <rFont val="Times New Roman"/>
      </rPr>
      <t xml:space="preserve"> web page
-Click on login
-input in valid login details
-On the Homepage
-Click on 'Demo'
-Click on 'View Store Front'
-On the Categories page
-Scroll down to 'Featured' 
-Click on Canon Eos 5D
- Click Add to Cart
-Available options menu is highlighted with a mesage: "Please select &amp; Select required"
-Click on drop down menu
-Click on Add to Cart again</t>
    </r>
  </si>
  <si>
    <r>
      <rPr>
        <rFont val="Times New Roman"/>
      </rPr>
      <t xml:space="preserve">site url
</t>
    </r>
    <r>
      <rPr>
        <rFont val="Times New Roman"/>
        <color rgb="FF1155CC"/>
        <u/>
      </rPr>
      <t>www.OpenCart.com</t>
    </r>
    <r>
      <rPr>
        <rFont val="Times New Roman"/>
      </rPr>
      <t xml:space="preserve"> 
Valid email:abidemi@mialinator.com
password: xxxxxxxxxx</t>
    </r>
  </si>
  <si>
    <t>Clicking on the drop down menu should open options for purchase to enable user complete transfer of item to the Cart</t>
  </si>
  <si>
    <t xml:space="preserve">User did not have available options to select and as such could not successfully add item to the Cart </t>
  </si>
  <si>
    <t>Critical</t>
  </si>
  <si>
    <t>-Chrome browser 
-Version 129.0.6668.101 
(Official Build)
(64-bit)</t>
  </si>
  <si>
    <t xml:space="preserve">https://monosnap.com/file/dwlyrfvyv660qVcma77NwpxlJddWnT
</t>
  </si>
  <si>
    <t>Abidemi Adeloye</t>
  </si>
  <si>
    <t>TC_CART FLOW_004</t>
  </si>
  <si>
    <t>User unable to add Apple Cinema 30" to Cart</t>
  </si>
  <si>
    <t>Adding Apple Camera 30" to Cart was not successful</t>
  </si>
  <si>
    <r>
      <rPr>
        <rFont val="Times New Roman"/>
      </rPr>
      <t xml:space="preserve">-Open the Firefox browser
-Visit </t>
    </r>
    <r>
      <rPr>
        <rFont val="Times New Roman"/>
        <color rgb="FF1155CC"/>
        <u/>
      </rPr>
      <t>www.OpenCart.com</t>
    </r>
    <r>
      <rPr>
        <rFont val="Times New Roman"/>
      </rPr>
      <t xml:space="preserve"> web page
-Click on login
-input in valid login details
-On the Homepage
-Click on 'Demo'
-Click on 'View Store Front'
-On the Categories page
-Scroll down to 'Featured' 
-Click on Apple Camera 30"
-check boxes of all Available options
- Click Add to Cart
</t>
    </r>
  </si>
  <si>
    <r>
      <rPr>
        <rFont val="Times New Roman"/>
      </rPr>
      <t xml:space="preserve">site url
</t>
    </r>
    <r>
      <rPr>
        <rFont val="Times New Roman"/>
        <color rgb="FF1155CC"/>
        <u/>
      </rPr>
      <t>www.OpenCart.com</t>
    </r>
    <r>
      <rPr>
        <rFont val="Times New Roman"/>
      </rPr>
      <t xml:space="preserve"> 
Valid email:abidemi@mialinator.com
password: xxxxxxxxxx</t>
    </r>
  </si>
  <si>
    <t>Clicking on Add to Cart should add the product to user's shopping Cart</t>
  </si>
  <si>
    <t>Apple Cinema 30" was not added to the Cart</t>
  </si>
  <si>
    <t>https://monosnap.com/file/eZRK9pmqPkhSwBSwnjXDYhEoNamY9W</t>
  </si>
  <si>
    <t>Gbenga Adebayo</t>
  </si>
  <si>
    <t>\\\</t>
  </si>
  <si>
    <t>TC_CART FLOW_005</t>
  </si>
  <si>
    <t>User is unable to access Store Front to be able to add item to Cart</t>
  </si>
  <si>
    <t xml:space="preserve">Accessing Store Front as a logged in user to be able to add item to Cart was not successful </t>
  </si>
  <si>
    <r>
      <rPr>
        <rFont val="Times New Roman"/>
      </rPr>
      <t xml:space="preserve">-Open the Firefox browser
-Visit </t>
    </r>
    <r>
      <rPr>
        <rFont val="Times New Roman"/>
        <color rgb="FF1155CC"/>
        <u/>
      </rPr>
      <t>www.OpenCart.com</t>
    </r>
    <r>
      <rPr>
        <rFont val="Times New Roman"/>
      </rPr>
      <t xml:space="preserve"> web page
-login with valid details
-Click on Demo
-Scroll down to the Store Front window
-Click on Vew of store front
</t>
    </r>
  </si>
  <si>
    <r>
      <rPr>
        <rFont val="Times New Roman"/>
      </rPr>
      <t xml:space="preserve">site url
</t>
    </r>
    <r>
      <rPr>
        <rFont val="Times New Roman"/>
        <color rgb="FF1155CC"/>
        <u/>
      </rPr>
      <t>www.OpenCart.com</t>
    </r>
    <r>
      <rPr>
        <rFont val="Times New Roman"/>
      </rPr>
      <t xml:space="preserve"> 
Precondition: User is already logged in</t>
    </r>
  </si>
  <si>
    <t>User should be able access the Store Front and add items to Cart</t>
  </si>
  <si>
    <t xml:space="preserve"> User was not able  to add items to Cart nor acces the store front.
An error message was displayed on another open tab window "Connection timed out Error code 522"</t>
  </si>
  <si>
    <t>https://monosnap.com/file/vut7NBL2u2I7IgSlw4BXmeGs0ZBxwk</t>
  </si>
  <si>
    <t>Victoria Adeyanju</t>
  </si>
  <si>
    <t>17TH OCT. 2024</t>
  </si>
  <si>
    <t>TC_SEARCH_006</t>
  </si>
  <si>
    <t>Verify that the search button functions correctly when a valid search term is entered.</t>
  </si>
  <si>
    <t>This test checks the functionality of the search button on the OpenCart website. 
This is done  to ensure that when a user enters a valid search term and clicks the search button, the system returns relevant results.</t>
  </si>
  <si>
    <t>1. Navigate to the OpenCart homepage.
2. Enter the search term "laptop" in the search bar.
3. Click the search button.</t>
  </si>
  <si>
    <t>* Search Term: "laptop" (or any relevant product)
* Browser: Google Chrome (version X.X)
* Operating System: Windows 10</t>
  </si>
  <si>
    <t>The user should be redirected to a search results page displaying products relevant to the search term "laptop." The page should show a list of items, including their images, prices, and descriptions.</t>
  </si>
  <si>
    <t>* Upon clicking the search button, after some times; an error message displayed, connection timed out. Error code 522. 
* Upon refreshing the page, the page does not redirect or display any search results. 
The search field remains unchanged. An error message keeps displaying.</t>
  </si>
  <si>
    <t>Chrome Browser Version 129.0.6668.101 (Official Build) (64-bit)</t>
  </si>
  <si>
    <t>https://monosnap.com/direct/rvgGiS1mNhGXpiAWbcAxbNOUSMT6M7</t>
  </si>
  <si>
    <t>Raphael Nwosu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</si>
</sst>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Times New Roman"/>
    </font>
    <font>
      <b/>
      <color theme="0"/>
      <name val="Times New Roman"/>
    </font>
    <font>
      <b/>
      <color rgb="FFFFFFFF"/>
      <name val="Times New Roman"/>
    </font>
    <font>
      <color rgb="FF000000"/>
      <name val="Times New Roman"/>
    </font>
    <font>
      <color rgb="FF444746"/>
      <name val="Times New Roman"/>
    </font>
    <font>
      <sz val="10.0"/>
      <color theme="1"/>
      <name val="Times New Roman"/>
    </font>
    <font>
      <u/>
      <color rgb="FF0000FF"/>
      <name val="Times New Roman"/>
    </font>
    <font>
      <u/>
      <color rgb="FF000000"/>
      <name val="Times New Roman"/>
    </font>
    <font>
      <u/>
      <color rgb="FF0000FF"/>
      <name val="Times New Roman"/>
    </font>
    <font>
      <u/>
      <sz val="10.0"/>
      <color rgb="FF0000FF"/>
      <name val="Times New Roman"/>
    </font>
    <font>
      <u/>
      <color rgb="FF0000FF"/>
      <name val="Times New Roman"/>
    </font>
    <font>
      <color rgb="FF444746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Alignment="1" applyFont="1">
      <alignment readingOrder="0"/>
    </xf>
    <xf borderId="0" fillId="2" fontId="3" numFmtId="0" xfId="0" applyFont="1"/>
    <xf borderId="1" fillId="0" fontId="1" numFmtId="0" xfId="0" applyAlignment="1" applyBorder="1" applyFont="1">
      <alignment readingOrder="0"/>
    </xf>
    <xf borderId="1" fillId="3" fontId="1" numFmtId="0" xfId="0" applyBorder="1" applyFill="1" applyFont="1"/>
    <xf borderId="1" fillId="0" fontId="1" numFmtId="0" xfId="0" applyBorder="1" applyFont="1"/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3" fontId="4" numFmtId="0" xfId="0" applyAlignment="1" applyFont="1">
      <alignment horizontal="left" readingOrder="0" shrinkToFit="0" wrapText="1"/>
    </xf>
    <xf borderId="0" fillId="3" fontId="5" numFmtId="0" xfId="0" applyAlignment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readingOrder="0" shrinkToFit="0" wrapText="1"/>
    </xf>
    <xf borderId="0" fillId="3" fontId="8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  <xf borderId="1" fillId="0" fontId="10" numFmtId="0" xfId="0" applyAlignment="1" applyBorder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4" fontId="1" numFmtId="0" xfId="0" applyAlignment="1" applyFont="1">
      <alignment readingOrder="0" shrinkToFit="0" wrapText="1"/>
    </xf>
    <xf borderId="0" fillId="3" fontId="12" numFmtId="0" xfId="0" applyAlignment="1" applyFont="1">
      <alignment horizontal="left" readingOrder="0" shrinkToFit="0" wrapText="1"/>
    </xf>
    <xf borderId="0" fillId="5" fontId="6" numFmtId="0" xfId="0" applyAlignment="1" applyFill="1" applyFont="1">
      <alignment readingOrder="0" shrinkToFit="0" wrapText="1"/>
    </xf>
  </cellXfs>
  <cellStyles count="1">
    <cellStyle xfId="0" name="Normal" builtinId="0"/>
  </cellStyles>
  <dxfs count="6"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color theme="0"/>
      </font>
      <fill>
        <patternFill patternType="solid">
          <fgColor rgb="FF274E13"/>
          <bgColor rgb="FF274E13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Severity Measurement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8761D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'BUG REPORT'!$B$3:$B$5</c:f>
            </c:strRef>
          </c:cat>
          <c:val>
            <c:numRef>
              <c:f>'BUG REPORT'!$C$3:$C$5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Priority Measurement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8761D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'BUG REPORT'!$F$3:$F$5</c:f>
            </c:strRef>
          </c:cat>
          <c:val>
            <c:numRef>
              <c:f>'BUG REPORT'!$G$3:$G$5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38100</xdr:rowOff>
    </xdr:from>
    <xdr:ext cx="3571875" cy="2200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1295400</xdr:colOff>
      <xdr:row>6</xdr:row>
      <xdr:rowOff>85725</xdr:rowOff>
    </xdr:from>
    <xdr:ext cx="3181350" cy="2200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pencart.com/" TargetMode="External"/><Relationship Id="rId11" Type="http://schemas.openxmlformats.org/officeDocument/2006/relationships/hyperlink" Target="http://www.opencart.com/" TargetMode="External"/><Relationship Id="rId10" Type="http://schemas.openxmlformats.org/officeDocument/2006/relationships/hyperlink" Target="https://www.opencart.com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monosnap.com/file/eZRK9pmqPkhSwBSwnjXDYhEoNamY9W" TargetMode="External"/><Relationship Id="rId12" Type="http://schemas.openxmlformats.org/officeDocument/2006/relationships/hyperlink" Target="http://www.opencart.com/" TargetMode="External"/><Relationship Id="rId1" Type="http://schemas.openxmlformats.org/officeDocument/2006/relationships/hyperlink" Target="http://www.opencart.com/" TargetMode="External"/><Relationship Id="rId2" Type="http://schemas.openxmlformats.org/officeDocument/2006/relationships/hyperlink" Target="http://www.opencart.com/" TargetMode="External"/><Relationship Id="rId3" Type="http://schemas.openxmlformats.org/officeDocument/2006/relationships/hyperlink" Target="https://monosnap.com/direct/6mflmV72NAwhWQJXRsJE8VSsviMviQ" TargetMode="External"/><Relationship Id="rId4" Type="http://schemas.openxmlformats.org/officeDocument/2006/relationships/hyperlink" Target="https://www.opencart.com/" TargetMode="External"/><Relationship Id="rId9" Type="http://schemas.openxmlformats.org/officeDocument/2006/relationships/hyperlink" Target="https://monosnap.com/file/dwlyrfvyv660qVcma77NwpxlJddWnT" TargetMode="External"/><Relationship Id="rId15" Type="http://schemas.openxmlformats.org/officeDocument/2006/relationships/hyperlink" Target="http://www.opencart.com/" TargetMode="External"/><Relationship Id="rId14" Type="http://schemas.openxmlformats.org/officeDocument/2006/relationships/hyperlink" Target="https://www.opencart.com/" TargetMode="External"/><Relationship Id="rId17" Type="http://schemas.openxmlformats.org/officeDocument/2006/relationships/hyperlink" Target="https://monosnap.com/file/vut7NBL2u2I7IgSlw4BXmeGs0ZBxwk" TargetMode="External"/><Relationship Id="rId16" Type="http://schemas.openxmlformats.org/officeDocument/2006/relationships/hyperlink" Target="http://www.opencart.com/" TargetMode="External"/><Relationship Id="rId5" Type="http://schemas.openxmlformats.org/officeDocument/2006/relationships/hyperlink" Target="http://www.opencart.com/" TargetMode="External"/><Relationship Id="rId19" Type="http://schemas.openxmlformats.org/officeDocument/2006/relationships/hyperlink" Target="https://monosnap.com/direct/rvgGiS1mNhGXpiAWbcAxbNOUSMT6M7" TargetMode="External"/><Relationship Id="rId6" Type="http://schemas.openxmlformats.org/officeDocument/2006/relationships/hyperlink" Target="https://monosnap.com/file/Frpg0o60ym3DXbzBd6Qrr2I2afpge7" TargetMode="External"/><Relationship Id="rId18" Type="http://schemas.openxmlformats.org/officeDocument/2006/relationships/hyperlink" Target="https://www.opencart.com/" TargetMode="External"/><Relationship Id="rId7" Type="http://schemas.openxmlformats.org/officeDocument/2006/relationships/hyperlink" Target="http://www.opencart.com/" TargetMode="External"/><Relationship Id="rId8" Type="http://schemas.openxmlformats.org/officeDocument/2006/relationships/hyperlink" Target="http://www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5.38"/>
    <col customWidth="1" min="3" max="3" width="16.88"/>
    <col customWidth="1" min="4" max="4" width="28.38"/>
    <col customWidth="1" min="5" max="5" width="19.25"/>
    <col customWidth="1" min="6" max="6" width="17.38"/>
    <col customWidth="1" min="7" max="7" width="19.25"/>
    <col customWidth="1" min="11" max="11" width="20.25"/>
    <col customWidth="1" min="12" max="13" width="15.63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E2" s="1"/>
      <c r="F2" s="4" t="s">
        <v>1</v>
      </c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 t="s">
        <v>2</v>
      </c>
      <c r="C3" s="7">
        <f>COUNTIF(H21:H28,"MINOR")</f>
        <v>0</v>
      </c>
      <c r="E3" s="1"/>
      <c r="F3" s="6" t="s">
        <v>3</v>
      </c>
      <c r="G3" s="8">
        <f>COUNTIF(I21:I28,"LOW")</f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 t="s">
        <v>4</v>
      </c>
      <c r="C4" s="6">
        <f>countIF(H21:H28,"MAJOR")</f>
        <v>4</v>
      </c>
      <c r="E4" s="1"/>
      <c r="F4" s="6" t="s">
        <v>5</v>
      </c>
      <c r="G4" s="8">
        <f>COUNTIF(I21:I28,"MEDIUM")</f>
        <v>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6" t="s">
        <v>6</v>
      </c>
      <c r="C5" s="8">
        <f>COUNTIF(H21:H28,"CRITICAL")</f>
        <v>2</v>
      </c>
      <c r="E5" s="1"/>
      <c r="F5" s="6" t="s">
        <v>7</v>
      </c>
      <c r="G5" s="8">
        <f>COUNTIF(I21:I28,"HIGH")</f>
        <v>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 t="s">
        <v>8</v>
      </c>
      <c r="C6" s="8">
        <f>SUM(C3:C5)</f>
        <v>6</v>
      </c>
      <c r="E6" s="1"/>
      <c r="F6" s="6" t="s">
        <v>8</v>
      </c>
      <c r="G6" s="8">
        <f>SUM(G3:G5)</f>
        <v>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2"/>
      <c r="B19" s="13"/>
      <c r="C19" s="13"/>
      <c r="D19" s="14"/>
      <c r="E19" s="15"/>
      <c r="F19" s="13"/>
      <c r="G19" s="13"/>
      <c r="H19" s="12"/>
      <c r="I19" s="12"/>
      <c r="J19" s="16"/>
      <c r="K19" s="13"/>
      <c r="L19" s="17"/>
      <c r="M19" s="18"/>
      <c r="N19" s="18"/>
      <c r="O19" s="1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9" t="s">
        <v>9</v>
      </c>
      <c r="B20" s="20" t="s">
        <v>10</v>
      </c>
      <c r="C20" s="20" t="s">
        <v>11</v>
      </c>
      <c r="D20" s="20" t="s">
        <v>12</v>
      </c>
      <c r="E20" s="20" t="s">
        <v>13</v>
      </c>
      <c r="F20" s="20" t="s">
        <v>14</v>
      </c>
      <c r="G20" s="20" t="s">
        <v>15</v>
      </c>
      <c r="H20" s="20" t="s">
        <v>16</v>
      </c>
      <c r="I20" s="20" t="s">
        <v>17</v>
      </c>
      <c r="J20" s="20" t="s">
        <v>18</v>
      </c>
      <c r="K20" s="20" t="s">
        <v>19</v>
      </c>
      <c r="L20" s="20" t="s">
        <v>20</v>
      </c>
      <c r="M20" s="20" t="s">
        <v>21</v>
      </c>
      <c r="N20" s="20" t="s">
        <v>22</v>
      </c>
      <c r="O20" s="2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79.25" customHeight="1">
      <c r="A21" s="13" t="s">
        <v>23</v>
      </c>
      <c r="B21" s="13" t="s">
        <v>24</v>
      </c>
      <c r="C21" s="13" t="s">
        <v>25</v>
      </c>
      <c r="D21" s="22" t="s">
        <v>26</v>
      </c>
      <c r="E21" s="23" t="s">
        <v>27</v>
      </c>
      <c r="F21" s="13" t="s">
        <v>28</v>
      </c>
      <c r="G21" s="13" t="s">
        <v>29</v>
      </c>
      <c r="H21" s="12" t="s">
        <v>30</v>
      </c>
      <c r="I21" s="12" t="s">
        <v>31</v>
      </c>
      <c r="J21" s="16" t="s">
        <v>32</v>
      </c>
      <c r="K21" s="24" t="s">
        <v>33</v>
      </c>
      <c r="L21" s="25" t="s">
        <v>34</v>
      </c>
      <c r="M21" s="26" t="s">
        <v>35</v>
      </c>
      <c r="N21" s="12" t="s">
        <v>36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6.0" customHeight="1">
      <c r="A22" s="13" t="s">
        <v>37</v>
      </c>
      <c r="B22" s="13" t="s">
        <v>38</v>
      </c>
      <c r="C22" s="13" t="s">
        <v>39</v>
      </c>
      <c r="D22" s="15" t="s">
        <v>40</v>
      </c>
      <c r="E22" s="23" t="s">
        <v>41</v>
      </c>
      <c r="F22" s="27" t="s">
        <v>42</v>
      </c>
      <c r="G22" s="27" t="s">
        <v>43</v>
      </c>
      <c r="H22" s="12" t="s">
        <v>30</v>
      </c>
      <c r="I22" s="12" t="s">
        <v>44</v>
      </c>
      <c r="J22" s="13" t="s">
        <v>45</v>
      </c>
      <c r="K22" s="28" t="s">
        <v>46</v>
      </c>
      <c r="L22" s="17"/>
      <c r="M22" s="26" t="s">
        <v>47</v>
      </c>
      <c r="N22" s="12" t="s">
        <v>36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321.0" customHeight="1">
      <c r="A23" s="12" t="s">
        <v>48</v>
      </c>
      <c r="B23" s="13" t="s">
        <v>49</v>
      </c>
      <c r="C23" s="13" t="s">
        <v>50</v>
      </c>
      <c r="D23" s="22" t="s">
        <v>51</v>
      </c>
      <c r="E23" s="22" t="s">
        <v>52</v>
      </c>
      <c r="F23" s="13" t="s">
        <v>53</v>
      </c>
      <c r="G23" s="13" t="s">
        <v>54</v>
      </c>
      <c r="H23" s="12" t="s">
        <v>55</v>
      </c>
      <c r="I23" s="12" t="s">
        <v>31</v>
      </c>
      <c r="J23" s="13" t="s">
        <v>56</v>
      </c>
      <c r="K23" s="22" t="s">
        <v>57</v>
      </c>
      <c r="L23" s="25" t="s">
        <v>34</v>
      </c>
      <c r="M23" s="26" t="s">
        <v>58</v>
      </c>
      <c r="N23" s="12" t="s">
        <v>36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71.75" customHeight="1">
      <c r="A24" s="12" t="s">
        <v>59</v>
      </c>
      <c r="B24" s="13" t="s">
        <v>60</v>
      </c>
      <c r="C24" s="13" t="s">
        <v>61</v>
      </c>
      <c r="D24" s="22" t="s">
        <v>62</v>
      </c>
      <c r="E24" s="22" t="s">
        <v>63</v>
      </c>
      <c r="F24" s="13" t="s">
        <v>64</v>
      </c>
      <c r="G24" s="13" t="s">
        <v>65</v>
      </c>
      <c r="H24" s="12" t="s">
        <v>55</v>
      </c>
      <c r="I24" s="12" t="s">
        <v>31</v>
      </c>
      <c r="J24" s="13" t="s">
        <v>45</v>
      </c>
      <c r="K24" s="24" t="s">
        <v>66</v>
      </c>
      <c r="L24" s="25" t="s">
        <v>34</v>
      </c>
      <c r="M24" s="29" t="s">
        <v>67</v>
      </c>
      <c r="N24" s="12" t="s">
        <v>36</v>
      </c>
      <c r="O24" s="12" t="s">
        <v>68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66.75" customHeight="1">
      <c r="A25" s="12" t="s">
        <v>69</v>
      </c>
      <c r="B25" s="13" t="s">
        <v>70</v>
      </c>
      <c r="C25" s="13" t="s">
        <v>71</v>
      </c>
      <c r="D25" s="22" t="s">
        <v>72</v>
      </c>
      <c r="E25" s="22" t="s">
        <v>73</v>
      </c>
      <c r="F25" s="13" t="s">
        <v>74</v>
      </c>
      <c r="G25" s="13" t="s">
        <v>75</v>
      </c>
      <c r="H25" s="12" t="s">
        <v>30</v>
      </c>
      <c r="I25" s="12" t="s">
        <v>44</v>
      </c>
      <c r="J25" s="13" t="s">
        <v>45</v>
      </c>
      <c r="K25" s="22" t="s">
        <v>76</v>
      </c>
      <c r="L25" s="25" t="s">
        <v>34</v>
      </c>
      <c r="M25" s="29" t="s">
        <v>77</v>
      </c>
      <c r="N25" s="12" t="s">
        <v>78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68.25" customHeight="1">
      <c r="A26" s="12" t="s">
        <v>79</v>
      </c>
      <c r="B26" s="13" t="s">
        <v>80</v>
      </c>
      <c r="C26" s="13" t="s">
        <v>81</v>
      </c>
      <c r="D26" s="13" t="s">
        <v>82</v>
      </c>
      <c r="E26" s="13" t="s">
        <v>83</v>
      </c>
      <c r="F26" s="13" t="s">
        <v>84</v>
      </c>
      <c r="G26" s="13" t="s">
        <v>85</v>
      </c>
      <c r="H26" s="12" t="s">
        <v>30</v>
      </c>
      <c r="I26" s="12" t="s">
        <v>44</v>
      </c>
      <c r="J26" s="30" t="s">
        <v>86</v>
      </c>
      <c r="K26" s="24" t="s">
        <v>87</v>
      </c>
      <c r="L26" s="25" t="s">
        <v>34</v>
      </c>
      <c r="M26" s="31" t="s">
        <v>88</v>
      </c>
      <c r="N26" s="12" t="s">
        <v>78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</sheetData>
  <conditionalFormatting sqref="H19 H21:H29">
    <cfRule type="containsText" dxfId="0" priority="1" operator="containsText" text="Major">
      <formula>NOT(ISERROR(SEARCH(("Major"),(H19))))</formula>
    </cfRule>
  </conditionalFormatting>
  <conditionalFormatting sqref="H19 H21:H29">
    <cfRule type="containsText" dxfId="1" priority="2" operator="containsText" text="Critical">
      <formula>NOT(ISERROR(SEARCH(("Critical"),(H19))))</formula>
    </cfRule>
  </conditionalFormatting>
  <conditionalFormatting sqref="H19 H21:H29">
    <cfRule type="containsText" dxfId="2" priority="3" operator="containsText" text="Minor">
      <formula>NOT(ISERROR(SEARCH(("Minor"),(H19))))</formula>
    </cfRule>
  </conditionalFormatting>
  <conditionalFormatting sqref="I19 I21:I29">
    <cfRule type="containsText" dxfId="1" priority="4" operator="containsText" text="High">
      <formula>NOT(ISERROR(SEARCH(("High"),(I19))))</formula>
    </cfRule>
  </conditionalFormatting>
  <conditionalFormatting sqref="I19 I21:I29">
    <cfRule type="containsText" dxfId="2" priority="5" operator="containsText" text="Low">
      <formula>NOT(ISERROR(SEARCH(("Low"),(I19))))</formula>
    </cfRule>
  </conditionalFormatting>
  <conditionalFormatting sqref="I19 I21:I29">
    <cfRule type="containsText" dxfId="3" priority="6" operator="containsText" text="Medium">
      <formula>NOT(ISERROR(SEARCH(("Medium"),(I19))))</formula>
    </cfRule>
  </conditionalFormatting>
  <conditionalFormatting sqref="C3">
    <cfRule type="notContainsBlanks" dxfId="4" priority="7">
      <formula>LEN(TRIM(C3))&gt;0</formula>
    </cfRule>
  </conditionalFormatting>
  <conditionalFormatting sqref="E3">
    <cfRule type="notContainsBlanks" dxfId="5" priority="8">
      <formula>LEN(TRIM(E3))&gt;0</formula>
    </cfRule>
  </conditionalFormatting>
  <conditionalFormatting sqref="M24">
    <cfRule type="containsBlanks" dxfId="4" priority="9">
      <formula>LEN(TRIM(M24))=0</formula>
    </cfRule>
  </conditionalFormatting>
  <hyperlinks>
    <hyperlink r:id="rId1" ref="D21"/>
    <hyperlink r:id="rId2" ref="E21"/>
    <hyperlink r:id="rId3" ref="K21"/>
    <hyperlink r:id="rId4" ref="L21"/>
    <hyperlink r:id="rId5" ref="E22"/>
    <hyperlink r:id="rId6" ref="K22"/>
    <hyperlink r:id="rId7" ref="D23"/>
    <hyperlink r:id="rId8" ref="E23"/>
    <hyperlink r:id="rId9" ref="K23"/>
    <hyperlink r:id="rId10" ref="L23"/>
    <hyperlink r:id="rId11" ref="D24"/>
    <hyperlink r:id="rId12" ref="E24"/>
    <hyperlink r:id="rId13" ref="K24"/>
    <hyperlink r:id="rId14" ref="L24"/>
    <hyperlink r:id="rId15" ref="D25"/>
    <hyperlink r:id="rId16" ref="E25"/>
    <hyperlink r:id="rId17" ref="K25"/>
    <hyperlink r:id="rId18" ref="L25"/>
    <hyperlink r:id="rId19" ref="K26"/>
    <hyperlink r:id="rId20" ref="L26"/>
  </hyperlinks>
  <drawing r:id="rId21"/>
</worksheet>
</file>